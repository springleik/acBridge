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2780" yWindow="820" windowWidth="25600" windowHeight="18380" tabRatio="500"/>
  </bookViews>
  <sheets>
    <sheet name="Exp09" sheetId="1" r:id="rId1"/>
    <sheet name="Standard Uncertainty" sheetId="2" r:id="rId2"/>
    <sheet name="TimeConst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38" i="3" l="1"/>
  <c r="J36" i="3"/>
  <c r="J34" i="3"/>
  <c r="J32" i="3"/>
  <c r="J30" i="3"/>
  <c r="J41" i="3"/>
  <c r="J40" i="3"/>
  <c r="K31" i="3"/>
  <c r="K33" i="3"/>
  <c r="K35" i="3"/>
  <c r="K37" i="3"/>
  <c r="K29" i="3"/>
  <c r="D27" i="3"/>
  <c r="D26" i="3"/>
  <c r="F26" i="3"/>
  <c r="G26" i="3"/>
  <c r="F27" i="3"/>
  <c r="G27" i="3"/>
  <c r="G29" i="3"/>
  <c r="G30" i="3"/>
  <c r="K9" i="3"/>
  <c r="K10" i="3"/>
  <c r="K11" i="3"/>
  <c r="K12" i="3"/>
  <c r="K13" i="3"/>
  <c r="K14" i="3"/>
  <c r="K15" i="3"/>
  <c r="K16" i="3"/>
  <c r="K17" i="3"/>
  <c r="K18" i="3"/>
  <c r="K21" i="3"/>
  <c r="K22" i="3"/>
  <c r="J21" i="3"/>
  <c r="L9" i="3"/>
  <c r="L10" i="3"/>
  <c r="L11" i="3"/>
  <c r="L12" i="3"/>
  <c r="L13" i="3"/>
  <c r="L14" i="3"/>
  <c r="L15" i="3"/>
  <c r="L16" i="3"/>
  <c r="L17" i="3"/>
  <c r="L18" i="3"/>
  <c r="L21" i="3"/>
  <c r="I21" i="3"/>
  <c r="J20" i="3"/>
  <c r="K20" i="3"/>
  <c r="L20" i="3"/>
  <c r="I20" i="3"/>
  <c r="E12" i="3"/>
  <c r="E10" i="3"/>
  <c r="G53" i="1"/>
  <c r="F53" i="1"/>
  <c r="D6" i="2"/>
  <c r="D5" i="2"/>
  <c r="C8" i="2"/>
  <c r="C7" i="2"/>
  <c r="D63" i="1"/>
  <c r="D36" i="1"/>
  <c r="B35" i="1"/>
  <c r="C35" i="1"/>
  <c r="D35" i="1"/>
  <c r="B34" i="1"/>
  <c r="C34" i="1"/>
  <c r="D34" i="1"/>
  <c r="B33" i="1"/>
  <c r="C33" i="1"/>
  <c r="D33" i="1"/>
  <c r="B32" i="1"/>
  <c r="C32" i="1"/>
  <c r="D32" i="1"/>
  <c r="B31" i="1"/>
  <c r="C31" i="1"/>
  <c r="D31" i="1"/>
  <c r="B30" i="1"/>
  <c r="C30" i="1"/>
  <c r="D30" i="1"/>
  <c r="B29" i="1"/>
  <c r="C29" i="1"/>
  <c r="D29" i="1"/>
  <c r="B28" i="1"/>
  <c r="C28" i="1"/>
  <c r="D28" i="1"/>
  <c r="B27" i="1"/>
  <c r="C27" i="1"/>
  <c r="D27" i="1"/>
  <c r="B26" i="1"/>
  <c r="C26" i="1"/>
  <c r="D26" i="1"/>
  <c r="D54" i="1"/>
  <c r="D55" i="1"/>
  <c r="D56" i="1"/>
  <c r="D57" i="1"/>
  <c r="D58" i="1"/>
  <c r="D59" i="1"/>
  <c r="D60" i="1"/>
  <c r="D61" i="1"/>
  <c r="D62" i="1"/>
  <c r="D53" i="1"/>
  <c r="C61" i="1"/>
  <c r="C60" i="1"/>
  <c r="C59" i="1"/>
  <c r="C58" i="1"/>
  <c r="C57" i="1"/>
  <c r="C56" i="1"/>
  <c r="C55" i="1"/>
  <c r="C54" i="1"/>
  <c r="C53" i="1"/>
  <c r="C62" i="1"/>
  <c r="B54" i="1"/>
  <c r="B55" i="1"/>
  <c r="B56" i="1"/>
  <c r="B57" i="1"/>
  <c r="B58" i="1"/>
  <c r="B59" i="1"/>
  <c r="B60" i="1"/>
  <c r="B61" i="1"/>
  <c r="B62" i="1"/>
  <c r="B53" i="1"/>
  <c r="E5" i="2"/>
  <c r="F5" i="2"/>
  <c r="E6" i="2"/>
  <c r="F6" i="2"/>
  <c r="E7" i="2"/>
  <c r="F7" i="2"/>
  <c r="E8" i="2"/>
  <c r="F8" i="2"/>
  <c r="F10" i="2"/>
  <c r="F11" i="2"/>
  <c r="F26" i="1"/>
  <c r="F52" i="1"/>
  <c r="F25" i="1"/>
  <c r="G51" i="1"/>
  <c r="F51" i="1"/>
  <c r="G24" i="1"/>
  <c r="F24" i="1"/>
</calcChain>
</file>

<file path=xl/sharedStrings.xml><?xml version="1.0" encoding="utf-8"?>
<sst xmlns="http://schemas.openxmlformats.org/spreadsheetml/2006/main" count="79" uniqueCount="49">
  <si>
    <t>{</t>
  </si>
  <si>
    <t>}</t>
  </si>
  <si>
    <t>Loading</t>
  </si>
  <si>
    <t>setup</t>
  </si>
  <si>
    <t>file</t>
  </si>
  <si>
    <t>Reading</t>
  </si>
  <si>
    <t>wave</t>
  </si>
  <si>
    <t>Wave</t>
  </si>
  <si>
    <t>parameters:</t>
  </si>
  <si>
    <t>nchannels:</t>
  </si>
  <si>
    <t>2,</t>
  </si>
  <si>
    <t>sampwidth:</t>
  </si>
  <si>
    <t>3,</t>
  </si>
  <si>
    <t>framerate:</t>
  </si>
  <si>
    <t>44100,</t>
  </si>
  <si>
    <t>nframes:</t>
  </si>
  <si>
    <t>comptype:</t>
  </si>
  <si>
    <t>NONE,</t>
  </si>
  <si>
    <t>compname:</t>
  </si>
  <si>
    <t>not compressed</t>
  </si>
  <si>
    <t>Expected</t>
  </si>
  <si>
    <t>frames,</t>
  </si>
  <si>
    <t>found</t>
  </si>
  <si>
    <t>Writing</t>
  </si>
  <si>
    <t>'e.json'</t>
  </si>
  <si>
    <t>'b.json'</t>
  </si>
  <si>
    <t>'b.wav'</t>
  </si>
  <si>
    <t>1973252,</t>
  </si>
  <si>
    <t>'c.json'</t>
  </si>
  <si>
    <t>10Meg and 100pF swapped left for right</t>
  </si>
  <si>
    <t>averages</t>
  </si>
  <si>
    <t>complex</t>
  </si>
  <si>
    <t>product</t>
  </si>
  <si>
    <t>partial derivatives</t>
  </si>
  <si>
    <t>stdrd unc</t>
  </si>
  <si>
    <t>squared</t>
  </si>
  <si>
    <t>sum:</t>
  </si>
  <si>
    <t>root:</t>
  </si>
  <si>
    <t>amplitudes</t>
  </si>
  <si>
    <t>volts</t>
  </si>
  <si>
    <t>stdev:</t>
  </si>
  <si>
    <t>stdev</t>
  </si>
  <si>
    <t>f</t>
  </si>
  <si>
    <t>1/2 pi f</t>
  </si>
  <si>
    <t>tau</t>
  </si>
  <si>
    <t>tau / f</t>
  </si>
  <si>
    <t>y</t>
  </si>
  <si>
    <t>y/2pif</t>
  </si>
  <si>
    <t>msec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</si>
</sst>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000"/>
    <numFmt numFmtId="165" formatCode="0.000000E+0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5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'Exp09'!$H$13:$H$22</c:f>
              <c:numCache>
                <c:formatCode>0.0000000000</c:formatCode>
                <c:ptCount val="10"/>
                <c:pt idx="0">
                  <c:v>0.00100021014509444</c:v>
                </c:pt>
                <c:pt idx="1">
                  <c:v>0.00100020960672055</c:v>
                </c:pt>
                <c:pt idx="2">
                  <c:v>0.00100020449714983</c:v>
                </c:pt>
                <c:pt idx="3">
                  <c:v>0.00100020975043121</c:v>
                </c:pt>
                <c:pt idx="4">
                  <c:v>0.00100019868353164</c:v>
                </c:pt>
                <c:pt idx="5">
                  <c:v>0.00100020570367889</c:v>
                </c:pt>
                <c:pt idx="6">
                  <c:v>0.00100021464381041</c:v>
                </c:pt>
                <c:pt idx="7">
                  <c:v>0.00100020445150708</c:v>
                </c:pt>
                <c:pt idx="8">
                  <c:v>0.0010002174312966</c:v>
                </c:pt>
                <c:pt idx="9">
                  <c:v>0.00100020479024262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8765624"/>
        <c:axId val="-2128762616"/>
      </c:lineChart>
      <c:catAx>
        <c:axId val="-2128765624"/>
        <c:scaling>
          <c:orientation val="minMax"/>
        </c:scaling>
        <c:delete val="0"/>
        <c:axPos val="b"/>
        <c:majorTickMark val="out"/>
        <c:minorTickMark val="none"/>
        <c:tickLblPos val="nextTo"/>
        <c:crossAx val="-2128762616"/>
        <c:crosses val="autoZero"/>
        <c:auto val="1"/>
        <c:lblAlgn val="ctr"/>
        <c:lblOffset val="100"/>
        <c:noMultiLvlLbl val="0"/>
      </c:catAx>
      <c:valAx>
        <c:axId val="-2128762616"/>
        <c:scaling>
          <c:orientation val="minMax"/>
        </c:scaling>
        <c:delete val="0"/>
        <c:axPos val="l"/>
        <c:majorGridlines/>
        <c:numFmt formatCode="0.0000000000" sourceLinked="1"/>
        <c:majorTickMark val="out"/>
        <c:minorTickMark val="none"/>
        <c:tickLblPos val="nextTo"/>
        <c:crossAx val="-21287656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1432560</xdr:colOff>
      <xdr:row>2</xdr:row>
      <xdr:rowOff>71120</xdr:rowOff>
    </xdr:from>
    <xdr:to>
      <xdr:col>8</xdr:col>
      <xdr:colOff>863600</xdr:colOff>
      <xdr:row>16</xdr:row>
      <xdr:rowOff>111760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zoomScale="125" zoomScaleNormal="125" zoomScalePageLayoutView="125" workbookViewId="0">
      <selection activeCell="A13" sqref="A13:A22"/>
    </sheetView>
  </sheetViews>
  <sheetFormatPr baseColWidth="10" defaultColWidth="15.83203125" defaultRowHeight="15" x14ac:dyDescent="0"/>
  <cols>
    <col min="1" max="1" width="17" style="1" bestFit="1" customWidth="1"/>
    <col min="2" max="2" width="19" style="1" bestFit="1" customWidth="1"/>
    <col min="3" max="5" width="19.5" style="1" bestFit="1" customWidth="1"/>
    <col min="6" max="9" width="16" style="1" bestFit="1" customWidth="1"/>
    <col min="10" max="16384" width="15.83203125" style="1"/>
  </cols>
  <sheetData>
    <row r="1" spans="1:9">
      <c r="A1" s="1" t="s">
        <v>2</v>
      </c>
      <c r="B1" s="1" t="s">
        <v>3</v>
      </c>
      <c r="C1" s="1" t="s">
        <v>4</v>
      </c>
      <c r="D1" s="1" t="s">
        <v>25</v>
      </c>
    </row>
    <row r="2" spans="1:9">
      <c r="A2" s="1" t="s">
        <v>5</v>
      </c>
      <c r="B2" s="1" t="s">
        <v>6</v>
      </c>
      <c r="C2" s="1" t="s">
        <v>4</v>
      </c>
      <c r="D2" s="1" t="s">
        <v>26</v>
      </c>
    </row>
    <row r="3" spans="1:9">
      <c r="A3" s="1" t="s">
        <v>7</v>
      </c>
      <c r="B3" s="1" t="s">
        <v>4</v>
      </c>
      <c r="C3" s="1" t="s">
        <v>8</v>
      </c>
    </row>
    <row r="4" spans="1:9">
      <c r="A4" s="1" t="s">
        <v>0</v>
      </c>
    </row>
    <row r="5" spans="1:9">
      <c r="B5" s="1" t="s">
        <v>9</v>
      </c>
      <c r="C5" s="1" t="s">
        <v>10</v>
      </c>
    </row>
    <row r="6" spans="1:9">
      <c r="B6" s="1" t="s">
        <v>11</v>
      </c>
      <c r="C6" s="1" t="s">
        <v>12</v>
      </c>
    </row>
    <row r="7" spans="1:9">
      <c r="B7" s="1" t="s">
        <v>13</v>
      </c>
      <c r="C7" s="1" t="s">
        <v>14</v>
      </c>
    </row>
    <row r="8" spans="1:9">
      <c r="B8" s="1" t="s">
        <v>15</v>
      </c>
      <c r="C8" s="1" t="s">
        <v>27</v>
      </c>
    </row>
    <row r="9" spans="1:9">
      <c r="B9" s="1" t="s">
        <v>16</v>
      </c>
      <c r="C9" s="1" t="s">
        <v>17</v>
      </c>
    </row>
    <row r="10" spans="1:9">
      <c r="B10" s="1" t="s">
        <v>18</v>
      </c>
      <c r="C10" s="1" t="s">
        <v>19</v>
      </c>
    </row>
    <row r="11" spans="1:9">
      <c r="A11" s="1" t="s">
        <v>1</v>
      </c>
    </row>
    <row r="12" spans="1:9">
      <c r="A12" s="1" t="s">
        <v>20</v>
      </c>
      <c r="B12" s="1">
        <v>1912720</v>
      </c>
      <c r="C12" s="1" t="s">
        <v>21</v>
      </c>
      <c r="D12" s="1" t="s">
        <v>22</v>
      </c>
      <c r="E12" s="1">
        <v>1973252</v>
      </c>
    </row>
    <row r="13" spans="1:9">
      <c r="A13" s="1">
        <v>159.16252700000001</v>
      </c>
      <c r="B13" s="1">
        <v>848895.03823355294</v>
      </c>
      <c r="C13" s="1">
        <v>-748338.30040918302</v>
      </c>
      <c r="D13" s="1">
        <v>746994.65093399805</v>
      </c>
      <c r="E13" s="1">
        <v>850468.44771473901</v>
      </c>
      <c r="F13" s="1">
        <v>-1.81008919307568E-3</v>
      </c>
      <c r="G13" s="1">
        <v>1.00025780620806</v>
      </c>
      <c r="H13" s="1">
        <v>1.00021014509444E-3</v>
      </c>
      <c r="I13" s="1">
        <v>1.8100029444444201E-6</v>
      </c>
    </row>
    <row r="14" spans="1:9">
      <c r="A14" s="1">
        <v>159.16252700000001</v>
      </c>
      <c r="B14" s="1">
        <v>848900.83870119601</v>
      </c>
      <c r="C14" s="1">
        <v>-748337.34932022495</v>
      </c>
      <c r="D14" s="1">
        <v>746994.028805946</v>
      </c>
      <c r="E14" s="1">
        <v>850473.13627038302</v>
      </c>
      <c r="F14" s="1">
        <v>-1.809214403091E-3</v>
      </c>
      <c r="G14" s="1">
        <v>1.00025726780852</v>
      </c>
      <c r="H14" s="1">
        <v>1.0002096067205501E-3</v>
      </c>
      <c r="I14" s="1">
        <v>1.8091281961424599E-6</v>
      </c>
    </row>
    <row r="15" spans="1:9">
      <c r="A15" s="1">
        <v>159.16252700000001</v>
      </c>
      <c r="B15" s="1">
        <v>848905.49252343201</v>
      </c>
      <c r="C15" s="1">
        <v>-748342.83082659403</v>
      </c>
      <c r="D15" s="1">
        <v>746995.70803966594</v>
      </c>
      <c r="E15" s="1">
        <v>850473.43821958196</v>
      </c>
      <c r="F15" s="1">
        <v>-1.80918067764188E-3</v>
      </c>
      <c r="G15" s="1">
        <v>1.00025215799432</v>
      </c>
      <c r="H15" s="1">
        <v>1.00020449714983E-3</v>
      </c>
      <c r="I15" s="1">
        <v>1.80909447230032E-6</v>
      </c>
    </row>
    <row r="16" spans="1:9">
      <c r="A16" s="1">
        <v>159.16252700000001</v>
      </c>
      <c r="B16" s="1">
        <v>848906.50400134397</v>
      </c>
      <c r="C16" s="1">
        <v>-748341.94801329402</v>
      </c>
      <c r="D16" s="1">
        <v>746999.97981121996</v>
      </c>
      <c r="E16" s="1">
        <v>850477.82805491996</v>
      </c>
      <c r="F16" s="1">
        <v>-1.80773741003556E-3</v>
      </c>
      <c r="G16" s="1">
        <v>1.0002574115260301</v>
      </c>
      <c r="H16" s="1">
        <v>1.00020975043121E-3</v>
      </c>
      <c r="I16" s="1">
        <v>1.80765127346401E-6</v>
      </c>
    </row>
    <row r="17" spans="1:9">
      <c r="A17" s="1">
        <v>159.16252700000001</v>
      </c>
      <c r="B17" s="1">
        <v>848909.80732934806</v>
      </c>
      <c r="C17" s="1">
        <v>-748346.14924644702</v>
      </c>
      <c r="D17" s="1">
        <v>746994.28259370197</v>
      </c>
      <c r="E17" s="1">
        <v>850473.16499761795</v>
      </c>
      <c r="F17" s="1">
        <v>-1.80963548475885E-3</v>
      </c>
      <c r="G17" s="1">
        <v>1.0002463440991001</v>
      </c>
      <c r="H17" s="1">
        <v>1.00019868353164E-3</v>
      </c>
      <c r="I17" s="1">
        <v>1.80954925774626E-6</v>
      </c>
    </row>
    <row r="18" spans="1:9">
      <c r="A18" s="1">
        <v>159.16252700000001</v>
      </c>
      <c r="B18" s="1">
        <v>848908.49433910404</v>
      </c>
      <c r="C18" s="1">
        <v>-748342.885078397</v>
      </c>
      <c r="D18" s="1">
        <v>746999.09444155905</v>
      </c>
      <c r="E18" s="1">
        <v>850475.31896223605</v>
      </c>
      <c r="F18" s="1">
        <v>-1.80631272804438E-3</v>
      </c>
      <c r="G18" s="1">
        <v>1.00025336458087</v>
      </c>
      <c r="H18" s="1">
        <v>1.00020570367889E-3</v>
      </c>
      <c r="I18" s="1">
        <v>1.8062266593572601E-6</v>
      </c>
    </row>
    <row r="19" spans="1:9">
      <c r="A19" s="1">
        <v>159.16252700000001</v>
      </c>
      <c r="B19" s="1">
        <v>848906.36241791898</v>
      </c>
      <c r="C19" s="1">
        <v>-748340.59480758605</v>
      </c>
      <c r="D19" s="1">
        <v>747005.36234860797</v>
      </c>
      <c r="E19" s="1">
        <v>850479.12859246798</v>
      </c>
      <c r="F19" s="1">
        <v>-1.8041165787790301E-3</v>
      </c>
      <c r="G19" s="1">
        <v>1.0002623051384001</v>
      </c>
      <c r="H19" s="1">
        <v>1.0002146438104101E-3</v>
      </c>
      <c r="I19" s="1">
        <v>1.80403061473585E-6</v>
      </c>
    </row>
    <row r="20" spans="1:9">
      <c r="A20" s="1">
        <v>159.16252700000001</v>
      </c>
      <c r="B20" s="1">
        <v>848912.14388167602</v>
      </c>
      <c r="C20" s="1">
        <v>-748344.58971075004</v>
      </c>
      <c r="D20" s="1">
        <v>747001.14298156404</v>
      </c>
      <c r="E20" s="1">
        <v>850476.77479165397</v>
      </c>
      <c r="F20" s="1">
        <v>-1.80479647146255E-3</v>
      </c>
      <c r="G20" s="1">
        <v>1.0002521123493999</v>
      </c>
      <c r="H20" s="1">
        <v>1.00020445150708E-3</v>
      </c>
      <c r="I20" s="1">
        <v>1.8047104750232799E-6</v>
      </c>
    </row>
    <row r="21" spans="1:9">
      <c r="A21" s="1">
        <v>159.16252700000001</v>
      </c>
      <c r="B21" s="1">
        <v>848907.88025354105</v>
      </c>
      <c r="C21" s="1">
        <v>-748340.33017353399</v>
      </c>
      <c r="D21" s="1">
        <v>747006.24990526005</v>
      </c>
      <c r="E21" s="1">
        <v>850483.83356648695</v>
      </c>
      <c r="F21" s="1">
        <v>-1.8052133871492399E-3</v>
      </c>
      <c r="G21" s="1">
        <v>1.0002650927574199</v>
      </c>
      <c r="H21" s="1">
        <v>1.0002174312966001E-3</v>
      </c>
      <c r="I21" s="1">
        <v>1.8051273708444301E-6</v>
      </c>
    </row>
    <row r="22" spans="1:9">
      <c r="A22" s="1">
        <v>159.16252700000001</v>
      </c>
      <c r="B22" s="1">
        <v>848910.06644224795</v>
      </c>
      <c r="C22" s="1">
        <v>-748346.36278404295</v>
      </c>
      <c r="D22" s="1">
        <v>747001.28809389297</v>
      </c>
      <c r="E22" s="1">
        <v>850476.64987971995</v>
      </c>
      <c r="F22" s="1">
        <v>-1.8070177443594701E-3</v>
      </c>
      <c r="G22" s="1">
        <v>1.00025245110108</v>
      </c>
      <c r="H22" s="1">
        <v>1.00020479024262E-3</v>
      </c>
      <c r="I22" s="1">
        <v>1.80693164207914E-6</v>
      </c>
    </row>
    <row r="23" spans="1:9">
      <c r="A23" s="1" t="s">
        <v>23</v>
      </c>
      <c r="B23" s="1" t="s">
        <v>3</v>
      </c>
      <c r="C23" s="1" t="s">
        <v>4</v>
      </c>
      <c r="D23" s="1" t="s">
        <v>28</v>
      </c>
    </row>
    <row r="24" spans="1:9">
      <c r="E24" s="1" t="s">
        <v>30</v>
      </c>
      <c r="F24" s="1">
        <f>AVERAGE(F13:F22)</f>
        <v>-1.8073314078397638E-3</v>
      </c>
      <c r="G24" s="1">
        <f>AVERAGE(G13:G22)</f>
        <v>1.00025563135632</v>
      </c>
    </row>
    <row r="25" spans="1:9">
      <c r="B25" s="1" t="s">
        <v>31</v>
      </c>
      <c r="C25" s="1" t="s">
        <v>38</v>
      </c>
      <c r="D25" s="1" t="s">
        <v>39</v>
      </c>
      <c r="E25" s="1" t="s">
        <v>31</v>
      </c>
      <c r="F25" s="1" t="str">
        <f>COMPLEX(F24,G24)</f>
        <v>-0.00180733140783976+1.00025563135632i</v>
      </c>
    </row>
    <row r="26" spans="1:9">
      <c r="A26" s="1" t="s">
        <v>29</v>
      </c>
      <c r="B26" s="1" t="str">
        <f>COMPLEX(B13,C13)</f>
        <v>848895.038233553-748338.300409183i</v>
      </c>
      <c r="C26" s="1">
        <f t="shared" ref="C26:C34" si="0">IMABS(B26)</f>
        <v>1131650.5634677385</v>
      </c>
      <c r="D26" s="1">
        <f>C26/4000000</f>
        <v>0.28291264086693463</v>
      </c>
      <c r="E26" s="1" t="s">
        <v>32</v>
      </c>
      <c r="F26" s="1" t="str">
        <f>IMPRODUCT(F25,F52)</f>
        <v>1.00000673172432-1.38892585821752E-06i</v>
      </c>
    </row>
    <row r="27" spans="1:9">
      <c r="B27" s="1" t="str">
        <f t="shared" ref="B27:B35" si="1">COMPLEX(B14,C14)</f>
        <v>848900.838701196-748337.349320225i</v>
      </c>
      <c r="C27" s="1">
        <f t="shared" si="0"/>
        <v>1131654.2856964816</v>
      </c>
      <c r="D27" s="1">
        <f t="shared" ref="D27:D35" si="2">C27/4000000</f>
        <v>0.28291357142412038</v>
      </c>
    </row>
    <row r="28" spans="1:9">
      <c r="A28" s="1" t="s">
        <v>2</v>
      </c>
      <c r="B28" s="1" t="str">
        <f t="shared" si="1"/>
        <v>848905.492523432-748342.830826594i</v>
      </c>
      <c r="C28" s="1">
        <f t="shared" si="0"/>
        <v>1131661.4015181444</v>
      </c>
      <c r="D28" s="1">
        <f t="shared" si="2"/>
        <v>0.28291535037953608</v>
      </c>
    </row>
    <row r="29" spans="1:9">
      <c r="A29" s="1" t="s">
        <v>5</v>
      </c>
      <c r="B29" s="1" t="str">
        <f t="shared" si="1"/>
        <v>848906.504001344-748341.948013294i</v>
      </c>
      <c r="C29" s="1">
        <f t="shared" si="0"/>
        <v>1131661.5764848234</v>
      </c>
      <c r="D29" s="1">
        <f t="shared" si="2"/>
        <v>0.28291539412120587</v>
      </c>
    </row>
    <row r="30" spans="1:9">
      <c r="A30" s="1" t="s">
        <v>7</v>
      </c>
      <c r="B30" s="1" t="str">
        <f t="shared" si="1"/>
        <v>848909.807329348-748346.149246447i</v>
      </c>
      <c r="C30" s="1">
        <f t="shared" si="0"/>
        <v>1131666.8326287277</v>
      </c>
      <c r="D30" s="1">
        <f t="shared" si="2"/>
        <v>0.2829167081571819</v>
      </c>
    </row>
    <row r="31" spans="1:9">
      <c r="A31" s="1" t="s">
        <v>0</v>
      </c>
      <c r="B31" s="1" t="str">
        <f t="shared" si="1"/>
        <v>848908.494339104-748342.885078397i</v>
      </c>
      <c r="C31" s="1">
        <f t="shared" si="0"/>
        <v>1131663.6891800247</v>
      </c>
      <c r="D31" s="1">
        <f t="shared" si="2"/>
        <v>0.28291592229500617</v>
      </c>
    </row>
    <row r="32" spans="1:9">
      <c r="B32" s="1" t="str">
        <f t="shared" si="1"/>
        <v>848906.362417919-748340.594807586i</v>
      </c>
      <c r="C32" s="1">
        <f t="shared" si="0"/>
        <v>1131660.5754335506</v>
      </c>
      <c r="D32" s="1">
        <f t="shared" si="2"/>
        <v>0.28291514385838767</v>
      </c>
    </row>
    <row r="33" spans="1:9">
      <c r="B33" s="1" t="str">
        <f t="shared" si="1"/>
        <v>848912.143881676-748344.58971075i</v>
      </c>
      <c r="C33" s="1">
        <f t="shared" si="0"/>
        <v>1131667.5540895986</v>
      </c>
      <c r="D33" s="1">
        <f t="shared" si="2"/>
        <v>0.28291688852239966</v>
      </c>
    </row>
    <row r="34" spans="1:9">
      <c r="B34" s="1" t="str">
        <f t="shared" si="1"/>
        <v>848907.880253541-748340.330173534i</v>
      </c>
      <c r="C34" s="1">
        <f t="shared" si="0"/>
        <v>1131661.5390304623</v>
      </c>
      <c r="D34" s="1">
        <f t="shared" si="2"/>
        <v>0.28291538475761557</v>
      </c>
    </row>
    <row r="35" spans="1:9">
      <c r="B35" s="1" t="str">
        <f t="shared" si="1"/>
        <v>848910.066442248-748346.362784043i</v>
      </c>
      <c r="C35" s="1">
        <f>IMABS(B35)</f>
        <v>1131667.1682076352</v>
      </c>
      <c r="D35" s="1">
        <f t="shared" si="2"/>
        <v>0.28291679205190878</v>
      </c>
    </row>
    <row r="36" spans="1:9">
      <c r="C36" s="1" t="s">
        <v>40</v>
      </c>
      <c r="D36" s="1">
        <f>_xlfn.STDEV.S(D26:D35)</f>
        <v>1.3807515451115139E-6</v>
      </c>
    </row>
    <row r="38" spans="1:9">
      <c r="A38" s="1" t="s">
        <v>1</v>
      </c>
    </row>
    <row r="39" spans="1:9">
      <c r="A39" s="1" t="s">
        <v>20</v>
      </c>
      <c r="B39" s="1">
        <v>1912720</v>
      </c>
      <c r="C39" s="1" t="s">
        <v>21</v>
      </c>
      <c r="D39" s="1" t="s">
        <v>22</v>
      </c>
      <c r="E39" s="1">
        <v>1996281</v>
      </c>
    </row>
    <row r="40" spans="1:9">
      <c r="A40" s="1">
        <v>159.16252700000001</v>
      </c>
      <c r="B40" s="1">
        <v>988340.47769578604</v>
      </c>
      <c r="C40" s="1">
        <v>-527268.08766282303</v>
      </c>
      <c r="D40" s="1">
        <v>-528925.52469279605</v>
      </c>
      <c r="E40" s="1">
        <v>-987148.81008705101</v>
      </c>
      <c r="F40" s="1">
        <v>-1.80617537926739E-3</v>
      </c>
      <c r="G40" s="1">
        <v>-0.99975784764873399</v>
      </c>
      <c r="H40" s="1">
        <v>-9.9971021035755495E-4</v>
      </c>
      <c r="I40" s="1">
        <v>1.8060893171247699E-6</v>
      </c>
    </row>
    <row r="41" spans="1:9">
      <c r="A41" s="1">
        <v>159.16252700000001</v>
      </c>
      <c r="B41" s="1">
        <v>988349.15601081797</v>
      </c>
      <c r="C41" s="1">
        <v>-527272.04470107495</v>
      </c>
      <c r="D41" s="1">
        <v>-528921.86007669196</v>
      </c>
      <c r="E41" s="1">
        <v>-987137.00345144502</v>
      </c>
      <c r="F41" s="1">
        <v>-1.8087644258464001E-3</v>
      </c>
      <c r="G41" s="1">
        <v>-0.99973851179959805</v>
      </c>
      <c r="H41" s="1">
        <v>-9.99690875429749E-4</v>
      </c>
      <c r="I41" s="1">
        <v>1.8086782403387501E-6</v>
      </c>
    </row>
    <row r="42" spans="1:9">
      <c r="A42" s="1">
        <v>159.16252700000001</v>
      </c>
      <c r="B42" s="1">
        <v>988341.04421302699</v>
      </c>
      <c r="C42" s="1">
        <v>-527270.02011508704</v>
      </c>
      <c r="D42" s="1">
        <v>-528922.59376466298</v>
      </c>
      <c r="E42" s="1">
        <v>-987145.16209991905</v>
      </c>
      <c r="F42" s="1">
        <v>-1.80411378155431E-3</v>
      </c>
      <c r="G42" s="1">
        <v>-0.99975248725665</v>
      </c>
      <c r="H42" s="1">
        <v>-9.997048502208871E-4</v>
      </c>
      <c r="I42" s="1">
        <v>1.80402781764441E-6</v>
      </c>
    </row>
    <row r="43" spans="1:9">
      <c r="A43" s="1">
        <v>159.16252700000001</v>
      </c>
      <c r="B43" s="1">
        <v>988356.35974385799</v>
      </c>
      <c r="C43" s="1">
        <v>-527274.61212166096</v>
      </c>
      <c r="D43" s="1">
        <v>-528927.25980311702</v>
      </c>
      <c r="E43" s="1">
        <v>-987154.85357711196</v>
      </c>
      <c r="F43" s="1">
        <v>-1.8065092849424301E-3</v>
      </c>
      <c r="G43" s="1">
        <v>-0.99974808713296603</v>
      </c>
      <c r="H43" s="1">
        <v>-9.9970045030686391E-4</v>
      </c>
      <c r="I43" s="1">
        <v>1.8064232068896E-6</v>
      </c>
    </row>
    <row r="44" spans="1:9">
      <c r="A44" s="1">
        <v>159.16252700000001</v>
      </c>
      <c r="B44" s="1">
        <v>988349.59065607795</v>
      </c>
      <c r="C44" s="1">
        <v>-527269.34459178301</v>
      </c>
      <c r="D44" s="1">
        <v>-528925.128643592</v>
      </c>
      <c r="E44" s="1">
        <v>-987148.68862873595</v>
      </c>
      <c r="F44" s="1">
        <v>-1.80873901907971E-3</v>
      </c>
      <c r="G44" s="1">
        <v>-0.99974987656943304</v>
      </c>
      <c r="H44" s="1">
        <v>-9.9970223965806693E-4</v>
      </c>
      <c r="I44" s="1">
        <v>1.8086528347826601E-6</v>
      </c>
    </row>
    <row r="45" spans="1:9">
      <c r="A45" s="1">
        <v>159.16252700000001</v>
      </c>
      <c r="B45" s="1">
        <v>988358.13088424003</v>
      </c>
      <c r="C45" s="1">
        <v>-527272.893186284</v>
      </c>
      <c r="D45" s="1">
        <v>-528925.00139851298</v>
      </c>
      <c r="E45" s="1">
        <v>-987148.75051213999</v>
      </c>
      <c r="F45" s="1">
        <v>-1.8093912426961399E-3</v>
      </c>
      <c r="G45" s="1">
        <v>-0.99974165496424905</v>
      </c>
      <c r="H45" s="1">
        <v>-9.9969401844463208E-4</v>
      </c>
      <c r="I45" s="1">
        <v>1.8093050273214E-6</v>
      </c>
    </row>
    <row r="46" spans="1:9">
      <c r="A46" s="1">
        <v>159.16252700000001</v>
      </c>
      <c r="B46" s="1">
        <v>988350.12543200504</v>
      </c>
      <c r="C46" s="1">
        <v>-527267.07416569698</v>
      </c>
      <c r="D46" s="1">
        <v>-528926.49260654801</v>
      </c>
      <c r="E46" s="1">
        <v>-987156.78790873499</v>
      </c>
      <c r="F46" s="1">
        <v>-1.8084235322275699E-3</v>
      </c>
      <c r="G46" s="1">
        <v>-0.99975735791152498</v>
      </c>
      <c r="H46" s="1">
        <v>-9.997097206436809E-4</v>
      </c>
      <c r="I46" s="1">
        <v>1.8083373629631001E-6</v>
      </c>
    </row>
    <row r="47" spans="1:9">
      <c r="A47" s="1">
        <v>159.16252700000001</v>
      </c>
      <c r="B47" s="1">
        <v>988354.628795292</v>
      </c>
      <c r="C47" s="1">
        <v>-527270.37388346402</v>
      </c>
      <c r="D47" s="1">
        <v>-528923.53784431296</v>
      </c>
      <c r="E47" s="1">
        <v>-987149.08023265202</v>
      </c>
      <c r="F47" s="1">
        <v>-1.80861948627694E-3</v>
      </c>
      <c r="G47" s="1">
        <v>-0.999745114675888</v>
      </c>
      <c r="H47" s="1">
        <v>-9.9969747799142001E-4</v>
      </c>
      <c r="I47" s="1">
        <v>1.8085333076754799E-6</v>
      </c>
    </row>
    <row r="48" spans="1:9">
      <c r="A48" s="1">
        <v>159.16252700000001</v>
      </c>
      <c r="B48" s="1">
        <v>988350.469391005</v>
      </c>
      <c r="C48" s="1">
        <v>-527267.70862614305</v>
      </c>
      <c r="D48" s="1">
        <v>-528918.54832156899</v>
      </c>
      <c r="E48" s="1">
        <v>-987141.68308821297</v>
      </c>
      <c r="F48" s="1">
        <v>-1.8081571444896799E-3</v>
      </c>
      <c r="G48" s="1">
        <v>-0.99974158617181696</v>
      </c>
      <c r="H48" s="1">
        <v>-9.996939496554791E-4</v>
      </c>
      <c r="I48" s="1">
        <v>1.8080709879182699E-6</v>
      </c>
    </row>
    <row r="49" spans="1:9">
      <c r="A49" s="1">
        <v>159.16252700000001</v>
      </c>
      <c r="B49" s="1">
        <v>988352.742612498</v>
      </c>
      <c r="C49" s="1">
        <v>-527267.20981001295</v>
      </c>
      <c r="D49" s="1">
        <v>-528921.58271820704</v>
      </c>
      <c r="E49" s="1">
        <v>-987148.25058692601</v>
      </c>
      <c r="F49" s="1">
        <v>-1.80913240297755E-3</v>
      </c>
      <c r="G49" s="1">
        <v>-0.99974645101847504</v>
      </c>
      <c r="H49" s="1">
        <v>-9.9969881427033197E-4</v>
      </c>
      <c r="I49" s="1">
        <v>1.80904619993622E-6</v>
      </c>
    </row>
    <row r="50" spans="1:9">
      <c r="A50" s="1" t="s">
        <v>23</v>
      </c>
      <c r="B50" s="1" t="s">
        <v>3</v>
      </c>
      <c r="C50" s="1" t="s">
        <v>4</v>
      </c>
      <c r="D50" s="1" t="s">
        <v>24</v>
      </c>
    </row>
    <row r="51" spans="1:9">
      <c r="E51" s="1" t="s">
        <v>30</v>
      </c>
      <c r="F51" s="1">
        <f>AVERAGE(F40:F49)</f>
        <v>-1.8078025699358117E-3</v>
      </c>
      <c r="G51" s="1">
        <f>AVERAGE(G40:G49)</f>
        <v>-0.99974789751493343</v>
      </c>
    </row>
    <row r="52" spans="1:9">
      <c r="B52" s="1" t="s">
        <v>31</v>
      </c>
      <c r="C52" s="1" t="s">
        <v>38</v>
      </c>
      <c r="D52" s="1" t="s">
        <v>39</v>
      </c>
      <c r="E52" s="1" t="s">
        <v>31</v>
      </c>
      <c r="F52" s="1" t="str">
        <f>COMPLEX(F51,G51)</f>
        <v>-0.00180780256993581-0.999747897514933i</v>
      </c>
    </row>
    <row r="53" spans="1:9">
      <c r="B53" s="1" t="str">
        <f>COMPLEX(B40,C40)</f>
        <v>988340.477695786-527268.087662823i</v>
      </c>
      <c r="C53" s="1">
        <f t="shared" ref="C53:C61" si="3">IMABS(B53)</f>
        <v>1120191.2944312436</v>
      </c>
      <c r="D53" s="1">
        <f>C53/4000000</f>
        <v>0.28004782360781089</v>
      </c>
      <c r="E53" s="1" t="s">
        <v>41</v>
      </c>
      <c r="F53" s="1">
        <f>_xlfn.STDEV.S(F40:F49)</f>
        <v>1.6733401629872274E-6</v>
      </c>
      <c r="G53" s="1">
        <f>_xlfn.STDEV.S(G40:G49)</f>
        <v>6.5849432255078842E-6</v>
      </c>
    </row>
    <row r="54" spans="1:9">
      <c r="B54" s="1" t="str">
        <f t="shared" ref="B54:B62" si="4">COMPLEX(B41,C41)</f>
        <v>988349.156010818-527272.044701075i</v>
      </c>
      <c r="C54" s="1">
        <f t="shared" si="3"/>
        <v>1120200.8138323005</v>
      </c>
      <c r="D54" s="1">
        <f t="shared" ref="D54:D62" si="5">C54/4000000</f>
        <v>0.28005020345807513</v>
      </c>
    </row>
    <row r="55" spans="1:9">
      <c r="B55" s="1" t="str">
        <f t="shared" si="4"/>
        <v>988341.044213027-527270.020115087i</v>
      </c>
      <c r="C55" s="1">
        <f t="shared" si="3"/>
        <v>1120192.7038631616</v>
      </c>
      <c r="D55" s="1">
        <f t="shared" si="5"/>
        <v>0.2800481759657904</v>
      </c>
    </row>
    <row r="56" spans="1:9">
      <c r="B56" s="1" t="str">
        <f t="shared" si="4"/>
        <v>988356.359743858-527274.612121661i</v>
      </c>
      <c r="C56" s="1">
        <f t="shared" si="3"/>
        <v>1120208.3781306844</v>
      </c>
      <c r="D56" s="1">
        <f t="shared" si="5"/>
        <v>0.2800520945326711</v>
      </c>
    </row>
    <row r="57" spans="1:9">
      <c r="B57" s="1" t="str">
        <f t="shared" si="4"/>
        <v>988349.590656078-527269.344591783i</v>
      </c>
      <c r="C57" s="1">
        <f t="shared" si="3"/>
        <v>1120199.9263954114</v>
      </c>
      <c r="D57" s="1">
        <f t="shared" si="5"/>
        <v>0.28004998159885286</v>
      </c>
    </row>
    <row r="58" spans="1:9">
      <c r="B58" s="1" t="str">
        <f t="shared" si="4"/>
        <v>988358.13088424-527272.893186284i</v>
      </c>
      <c r="C58" s="1">
        <f t="shared" si="3"/>
        <v>1120209.1317133701</v>
      </c>
      <c r="D58" s="1">
        <f t="shared" si="5"/>
        <v>0.2800522829283425</v>
      </c>
    </row>
    <row r="59" spans="1:9">
      <c r="B59" s="1" t="str">
        <f t="shared" si="4"/>
        <v>988350.125432005-527267.074165697i</v>
      </c>
      <c r="C59" s="1">
        <f t="shared" si="3"/>
        <v>1120199.3295573401</v>
      </c>
      <c r="D59" s="1">
        <f t="shared" si="5"/>
        <v>0.28004983238933501</v>
      </c>
    </row>
    <row r="60" spans="1:9">
      <c r="B60" s="1" t="str">
        <f t="shared" si="4"/>
        <v>988354.628795292-527270.373883464i</v>
      </c>
      <c r="C60" s="1">
        <f t="shared" si="3"/>
        <v>1120204.8560135274</v>
      </c>
      <c r="D60" s="1">
        <f t="shared" si="5"/>
        <v>0.28005121400338184</v>
      </c>
    </row>
    <row r="61" spans="1:9">
      <c r="B61" s="1" t="str">
        <f t="shared" si="4"/>
        <v>988350.469391005-527267.708626143i</v>
      </c>
      <c r="C61" s="1">
        <f t="shared" si="3"/>
        <v>1120199.9316663444</v>
      </c>
      <c r="D61" s="1">
        <f t="shared" si="5"/>
        <v>0.28004998291658612</v>
      </c>
    </row>
    <row r="62" spans="1:9">
      <c r="B62" s="1" t="str">
        <f t="shared" si="4"/>
        <v>988352.742612498-527267.209810013i</v>
      </c>
      <c r="C62" s="1">
        <f>IMABS(B62)</f>
        <v>1120201.7025386468</v>
      </c>
      <c r="D62" s="1">
        <f t="shared" si="5"/>
        <v>0.2800504256346617</v>
      </c>
    </row>
    <row r="63" spans="1:9">
      <c r="C63" s="1" t="s">
        <v>40</v>
      </c>
      <c r="D63" s="1">
        <f>_xlfn.STDEV.S(D53:D62)</f>
        <v>1.4522341985530683E-6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11"/>
  <sheetViews>
    <sheetView workbookViewId="0">
      <selection activeCell="C4" sqref="C4:F12"/>
    </sheetView>
  </sheetViews>
  <sheetFormatPr baseColWidth="10" defaultRowHeight="15" x14ac:dyDescent="0"/>
  <cols>
    <col min="3" max="6" width="19.5" customWidth="1"/>
  </cols>
  <sheetData>
    <row r="4" spans="3:6">
      <c r="C4" t="s">
        <v>33</v>
      </c>
      <c r="D4" t="s">
        <v>34</v>
      </c>
      <c r="E4" t="s">
        <v>32</v>
      </c>
      <c r="F4" t="s">
        <v>35</v>
      </c>
    </row>
    <row r="5" spans="3:6">
      <c r="C5">
        <v>1</v>
      </c>
      <c r="D5" s="2">
        <f>0.0000015/0.28</f>
        <v>5.357142857142857E-6</v>
      </c>
      <c r="E5" s="2">
        <f>C5*D5</f>
        <v>5.357142857142857E-6</v>
      </c>
      <c r="F5" s="2">
        <f>E5*E5</f>
        <v>2.8698979591836733E-11</v>
      </c>
    </row>
    <row r="6" spans="3:6">
      <c r="C6">
        <v>-1</v>
      </c>
      <c r="D6" s="2">
        <f>0.0000015/0.28</f>
        <v>5.357142857142857E-6</v>
      </c>
      <c r="E6" s="2">
        <f t="shared" ref="E6:E8" si="0">C6*D6</f>
        <v>-5.357142857142857E-6</v>
      </c>
      <c r="F6" s="2">
        <f t="shared" ref="F6:F8" si="1">E6*E6</f>
        <v>2.8698979591836733E-11</v>
      </c>
    </row>
    <row r="7" spans="3:6">
      <c r="C7">
        <f>-1/0.28</f>
        <v>-3.5714285714285712</v>
      </c>
      <c r="D7" s="2">
        <v>1.5E-6</v>
      </c>
      <c r="E7" s="2">
        <f t="shared" si="0"/>
        <v>-5.357142857142857E-6</v>
      </c>
      <c r="F7" s="2">
        <f t="shared" si="1"/>
        <v>2.8698979591836733E-11</v>
      </c>
    </row>
    <row r="8" spans="3:6">
      <c r="C8">
        <f>1/0.28</f>
        <v>3.5714285714285712</v>
      </c>
      <c r="D8" s="2">
        <v>1.5E-6</v>
      </c>
      <c r="E8" s="2">
        <f t="shared" si="0"/>
        <v>5.357142857142857E-6</v>
      </c>
      <c r="F8" s="2">
        <f t="shared" si="1"/>
        <v>2.8698979591836733E-11</v>
      </c>
    </row>
    <row r="9" spans="3:6">
      <c r="D9" s="2"/>
      <c r="E9" s="2"/>
      <c r="F9" s="2"/>
    </row>
    <row r="10" spans="3:6">
      <c r="D10" s="2"/>
      <c r="E10" s="2" t="s">
        <v>36</v>
      </c>
      <c r="F10" s="2">
        <f>SUM(F5:F8)</f>
        <v>1.1479591836734693E-10</v>
      </c>
    </row>
    <row r="11" spans="3:6">
      <c r="D11" s="2"/>
      <c r="E11" s="2" t="s">
        <v>37</v>
      </c>
      <c r="F11" s="2">
        <f>SQRT(F10)</f>
        <v>1.0714285714285714E-5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L41"/>
  <sheetViews>
    <sheetView workbookViewId="0">
      <selection activeCell="E27" sqref="E27"/>
    </sheetView>
  </sheetViews>
  <sheetFormatPr baseColWidth="10" defaultRowHeight="15" x14ac:dyDescent="0"/>
  <cols>
    <col min="4" max="7" width="18.6640625" customWidth="1"/>
    <col min="9" max="9" width="13.6640625" customWidth="1"/>
    <col min="10" max="10" width="18.83203125" customWidth="1"/>
    <col min="11" max="11" width="17.1640625" customWidth="1"/>
  </cols>
  <sheetData>
    <row r="8" spans="4:12">
      <c r="I8" t="s">
        <v>46</v>
      </c>
      <c r="J8" t="s">
        <v>42</v>
      </c>
      <c r="K8" t="s">
        <v>47</v>
      </c>
      <c r="L8" t="s">
        <v>48</v>
      </c>
    </row>
    <row r="9" spans="4:12">
      <c r="D9" t="s">
        <v>42</v>
      </c>
      <c r="E9">
        <v>159</v>
      </c>
      <c r="I9">
        <v>1.00025780620806</v>
      </c>
      <c r="J9" s="1">
        <v>159.16252700000001</v>
      </c>
      <c r="K9">
        <f>I9/2/PI()/J9</f>
        <v>1.0002101450944409E-3</v>
      </c>
      <c r="L9">
        <f>K9*1000</f>
        <v>1.0002101450944409</v>
      </c>
    </row>
    <row r="10" spans="4:12">
      <c r="D10" t="s">
        <v>43</v>
      </c>
      <c r="E10">
        <f>1/2/PI()/E9</f>
        <v>1.0009744848546876E-3</v>
      </c>
      <c r="I10">
        <v>1.00025726780852</v>
      </c>
      <c r="J10" s="1">
        <v>159.16252700000001</v>
      </c>
      <c r="K10">
        <f t="shared" ref="K10:K18" si="0">I10/2/PI()/J10</f>
        <v>1.0002096067205548E-3</v>
      </c>
      <c r="L10">
        <f t="shared" ref="L10:L18" si="1">K10*1000</f>
        <v>1.0002096067205548</v>
      </c>
    </row>
    <row r="11" spans="4:12">
      <c r="D11" t="s">
        <v>44</v>
      </c>
      <c r="E11">
        <v>1E-3</v>
      </c>
      <c r="I11">
        <v>1.00025215799432</v>
      </c>
      <c r="J11" s="1">
        <v>159.16252700000001</v>
      </c>
      <c r="K11">
        <f t="shared" si="0"/>
        <v>1.0002044971498317E-3</v>
      </c>
      <c r="L11">
        <f t="shared" si="1"/>
        <v>1.0002044971498316</v>
      </c>
    </row>
    <row r="12" spans="4:12">
      <c r="D12" t="s">
        <v>45</v>
      </c>
      <c r="E12">
        <f>E11/E9</f>
        <v>6.2893081761006293E-6</v>
      </c>
      <c r="I12">
        <v>1.0002574115260301</v>
      </c>
      <c r="J12" s="1">
        <v>159.16252700000001</v>
      </c>
      <c r="K12">
        <f t="shared" si="0"/>
        <v>1.0002097504312171E-3</v>
      </c>
      <c r="L12">
        <f t="shared" si="1"/>
        <v>1.0002097504312171</v>
      </c>
    </row>
    <row r="13" spans="4:12">
      <c r="I13">
        <v>1.0002463440991001</v>
      </c>
      <c r="J13" s="1">
        <v>159.16252700000001</v>
      </c>
      <c r="K13">
        <f t="shared" si="0"/>
        <v>1.000198683531637E-3</v>
      </c>
      <c r="L13">
        <f t="shared" si="1"/>
        <v>1.000198683531637</v>
      </c>
    </row>
    <row r="14" spans="4:12">
      <c r="I14">
        <v>1.00025336458087</v>
      </c>
      <c r="J14" s="1">
        <v>159.16252700000001</v>
      </c>
      <c r="K14">
        <f t="shared" si="0"/>
        <v>1.0002057036788891E-3</v>
      </c>
      <c r="L14">
        <f t="shared" si="1"/>
        <v>1.0002057036788892</v>
      </c>
    </row>
    <row r="15" spans="4:12">
      <c r="I15">
        <v>1.0002623051384001</v>
      </c>
      <c r="J15" s="1">
        <v>159.16252700000001</v>
      </c>
      <c r="K15">
        <f t="shared" si="0"/>
        <v>1.0002146438104122E-3</v>
      </c>
      <c r="L15">
        <f t="shared" si="1"/>
        <v>1.0002146438104123</v>
      </c>
    </row>
    <row r="16" spans="4:12">
      <c r="I16">
        <v>1.0002521123493999</v>
      </c>
      <c r="J16" s="1">
        <v>159.16252700000001</v>
      </c>
      <c r="K16">
        <f t="shared" si="0"/>
        <v>1.0002044515070865E-3</v>
      </c>
      <c r="L16">
        <f t="shared" si="1"/>
        <v>1.0002044515070865</v>
      </c>
    </row>
    <row r="17" spans="4:12">
      <c r="I17">
        <v>1.0002650927574199</v>
      </c>
      <c r="J17" s="1">
        <v>159.16252700000001</v>
      </c>
      <c r="K17">
        <f t="shared" si="0"/>
        <v>1.0002174312966053E-3</v>
      </c>
      <c r="L17">
        <f t="shared" si="1"/>
        <v>1.0002174312966052</v>
      </c>
    </row>
    <row r="18" spans="4:12">
      <c r="I18">
        <v>1.00025245110108</v>
      </c>
      <c r="J18" s="1">
        <v>159.16252700000001</v>
      </c>
      <c r="K18">
        <f t="shared" si="0"/>
        <v>1.0002047902426254E-3</v>
      </c>
      <c r="L18">
        <f t="shared" si="1"/>
        <v>1.0002047902426254</v>
      </c>
    </row>
    <row r="20" spans="4:12">
      <c r="I20">
        <f>AVERAGE(I9:I18)</f>
        <v>1.00025563135632</v>
      </c>
      <c r="J20">
        <f t="shared" ref="J20:L20" si="2">AVERAGE(J9:J18)</f>
        <v>159.16252699999998</v>
      </c>
      <c r="K20">
        <f t="shared" si="2"/>
        <v>1.0002079703463301E-3</v>
      </c>
      <c r="L20">
        <f t="shared" si="2"/>
        <v>1.00020797034633</v>
      </c>
    </row>
    <row r="21" spans="4:12">
      <c r="I21">
        <f>_xlfn.STDEV.S(I9:I18)</f>
        <v>5.4831816838724194E-6</v>
      </c>
      <c r="J21">
        <f t="shared" ref="J21:L21" si="3">_xlfn.STDEV.S(J9:J18)</f>
        <v>2.995911226518785E-14</v>
      </c>
      <c r="K21">
        <f t="shared" si="3"/>
        <v>5.4829204166924589E-9</v>
      </c>
      <c r="L21">
        <f t="shared" si="3"/>
        <v>5.4829204166915728E-6</v>
      </c>
    </row>
    <row r="22" spans="4:12">
      <c r="K22">
        <f>K21/0.001</f>
        <v>5.4829204166924587E-6</v>
      </c>
    </row>
    <row r="25" spans="4:12">
      <c r="D25" t="s">
        <v>33</v>
      </c>
      <c r="E25" t="s">
        <v>34</v>
      </c>
      <c r="F25" t="s">
        <v>32</v>
      </c>
      <c r="G25" t="s">
        <v>35</v>
      </c>
    </row>
    <row r="26" spans="4:12">
      <c r="D26">
        <f>1/2/PI()/159</f>
        <v>1.0009744848546876E-3</v>
      </c>
      <c r="E26" s="2">
        <v>5.4999999999999999E-6</v>
      </c>
      <c r="F26" s="2">
        <f>D26*E26</f>
        <v>5.5053596667007815E-9</v>
      </c>
      <c r="G26" s="2">
        <f>F26*F26</f>
        <v>3.0308985059735738E-17</v>
      </c>
    </row>
    <row r="27" spans="4:12">
      <c r="D27">
        <f>-0.001/159</f>
        <v>-6.2893081761006293E-6</v>
      </c>
      <c r="E27" s="2">
        <v>4.0000000000000001E-3</v>
      </c>
      <c r="F27" s="2">
        <f t="shared" ref="F27" si="4">D27*E27</f>
        <v>-2.5157232704402518E-8</v>
      </c>
      <c r="G27" s="2">
        <f t="shared" ref="G27" si="5">F27*F27</f>
        <v>6.3288635734345961E-16</v>
      </c>
    </row>
    <row r="28" spans="4:12">
      <c r="E28" s="2"/>
      <c r="F28" s="2"/>
      <c r="G28" s="2"/>
    </row>
    <row r="29" spans="4:12">
      <c r="E29" s="2"/>
      <c r="F29" s="2" t="s">
        <v>36</v>
      </c>
      <c r="G29" s="2">
        <f>SUM(G26:G27)</f>
        <v>6.6319534240319539E-16</v>
      </c>
      <c r="J29" s="1">
        <v>159.16252700000001</v>
      </c>
      <c r="K29">
        <f>J29*1.000025</f>
        <v>159.16650606317501</v>
      </c>
    </row>
    <row r="30" spans="4:12">
      <c r="E30" s="2"/>
      <c r="F30" s="2" t="s">
        <v>37</v>
      </c>
      <c r="G30" s="2">
        <f>SQRT(G29)</f>
        <v>2.5752579334955854E-8</v>
      </c>
      <c r="J30">
        <f>J29*1.0000055</f>
        <v>159.16340239389854</v>
      </c>
    </row>
    <row r="31" spans="4:12">
      <c r="J31" s="1">
        <v>159.16252700000001</v>
      </c>
      <c r="K31">
        <f t="shared" ref="K31:K37" si="6">J31*1.000025</f>
        <v>159.16650606317501</v>
      </c>
    </row>
    <row r="32" spans="4:12">
      <c r="J32">
        <f>J31*1.0000055</f>
        <v>159.16340239389854</v>
      </c>
    </row>
    <row r="33" spans="10:11">
      <c r="J33" s="1">
        <v>159.16252700000001</v>
      </c>
      <c r="K33">
        <f t="shared" si="6"/>
        <v>159.16650606317501</v>
      </c>
    </row>
    <row r="34" spans="10:11">
      <c r="J34">
        <f>J33*1.0000055</f>
        <v>159.16340239389854</v>
      </c>
    </row>
    <row r="35" spans="10:11">
      <c r="J35" s="1">
        <v>159.16252700000001</v>
      </c>
      <c r="K35">
        <f t="shared" si="6"/>
        <v>159.16650606317501</v>
      </c>
    </row>
    <row r="36" spans="10:11">
      <c r="J36">
        <f>J35*1.0000055</f>
        <v>159.16340239389854</v>
      </c>
    </row>
    <row r="37" spans="10:11">
      <c r="J37" s="1">
        <v>159.16252700000001</v>
      </c>
      <c r="K37">
        <f t="shared" si="6"/>
        <v>159.16650606317501</v>
      </c>
    </row>
    <row r="38" spans="10:11">
      <c r="J38">
        <f>J37*1.0000055</f>
        <v>159.16340239389854</v>
      </c>
    </row>
    <row r="40" spans="10:11">
      <c r="J40">
        <f t="shared" ref="J40" si="7">AVERAGE(J29:J38)</f>
        <v>159.1629646969493</v>
      </c>
    </row>
    <row r="41" spans="10:11">
      <c r="J41">
        <f t="shared" ref="J41" si="8">_xlfn.STDEV.S(J29:J38)</f>
        <v>4.6137309485893272E-4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Exp09</vt:lpstr>
      <vt:lpstr>Standard Uncertainty</vt:lpstr>
      <vt:lpstr>TimeConst</vt:lpstr>
    </vt:vector>
  </TitlesOfParts>
  <Company>Crystal Lake Designs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Williamsen</dc:creator>
  <cp:lastModifiedBy>Mark Williamsen</cp:lastModifiedBy>
  <dcterms:created xsi:type="dcterms:W3CDTF">2025-08-03T18:44:28Z</dcterms:created>
  <dcterms:modified xsi:type="dcterms:W3CDTF">2026-03-28T15:45:45Z</dcterms:modified>
</cp:coreProperties>
</file>