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6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8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9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10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11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8125"/>
  <workbookPr showInkAnnotation="0" autoCompressPictures="0"/>
  <bookViews>
    <workbookView xWindow="440" yWindow="140" windowWidth="34040" windowHeight="19920" tabRatio="500" firstSheet="1" activeTab="10"/>
  </bookViews>
  <sheets>
    <sheet name="15Meg1" sheetId="1" r:id="rId1"/>
    <sheet name="Cal1" sheetId="2" r:id="rId2"/>
    <sheet name="Cal2" sheetId="3" r:id="rId3"/>
    <sheet name="15Meg2" sheetId="4" r:id="rId4"/>
    <sheet name="TimeConst1" sheetId="5" r:id="rId5"/>
    <sheet name="TimeConst2" sheetId="6" r:id="rId6"/>
    <sheet name="TimeConst3" sheetId="7" r:id="rId7"/>
    <sheet name="TimeConst4" sheetId="8" r:id="rId8"/>
    <sheet name="TimeConst5" sheetId="9" r:id="rId9"/>
    <sheet name="TimeConst6" sheetId="10" r:id="rId10"/>
    <sheet name="CrossTalk" sheetId="11" r:id="rId1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158" i="10" l="1"/>
  <c r="G158" i="10"/>
  <c r="F159" i="10"/>
  <c r="G159" i="10"/>
  <c r="F160" i="10"/>
  <c r="G160" i="10"/>
  <c r="F161" i="10"/>
  <c r="G161" i="10"/>
  <c r="F162" i="10"/>
  <c r="G162" i="10"/>
  <c r="F163" i="10"/>
  <c r="G163" i="10"/>
  <c r="F164" i="10"/>
  <c r="G164" i="10"/>
  <c r="F165" i="10"/>
  <c r="G165" i="10"/>
  <c r="F166" i="10"/>
  <c r="G166" i="10"/>
  <c r="F167" i="10"/>
  <c r="G167" i="10"/>
  <c r="F168" i="10"/>
  <c r="G168" i="10"/>
  <c r="F169" i="10"/>
  <c r="G169" i="10"/>
  <c r="F170" i="10"/>
  <c r="G170" i="10"/>
  <c r="F171" i="10"/>
  <c r="G171" i="10"/>
  <c r="F172" i="10"/>
  <c r="G172" i="10"/>
  <c r="F173" i="10"/>
  <c r="G173" i="10"/>
  <c r="F174" i="10"/>
  <c r="G174" i="10"/>
  <c r="F175" i="10"/>
  <c r="G175" i="10"/>
  <c r="F176" i="10"/>
  <c r="G176" i="10"/>
  <c r="G157" i="10"/>
  <c r="F157" i="10"/>
  <c r="D158" i="10"/>
  <c r="E158" i="10"/>
  <c r="D159" i="10"/>
  <c r="E159" i="10"/>
  <c r="D160" i="10"/>
  <c r="E160" i="10"/>
  <c r="D161" i="10"/>
  <c r="E161" i="10"/>
  <c r="D162" i="10"/>
  <c r="E162" i="10"/>
  <c r="D163" i="10"/>
  <c r="E163" i="10"/>
  <c r="D164" i="10"/>
  <c r="E164" i="10"/>
  <c r="D165" i="10"/>
  <c r="E165" i="10"/>
  <c r="D166" i="10"/>
  <c r="E166" i="10"/>
  <c r="D167" i="10"/>
  <c r="E167" i="10"/>
  <c r="D168" i="10"/>
  <c r="E168" i="10"/>
  <c r="D169" i="10"/>
  <c r="E169" i="10"/>
  <c r="D170" i="10"/>
  <c r="E170" i="10"/>
  <c r="D171" i="10"/>
  <c r="E171" i="10"/>
  <c r="D172" i="10"/>
  <c r="E172" i="10"/>
  <c r="D173" i="10"/>
  <c r="E173" i="10"/>
  <c r="D174" i="10"/>
  <c r="E174" i="10"/>
  <c r="D175" i="10"/>
  <c r="E175" i="10"/>
  <c r="D176" i="10"/>
  <c r="E176" i="10"/>
  <c r="D157" i="10"/>
  <c r="E157" i="10"/>
  <c r="E141" i="10"/>
  <c r="D141" i="10"/>
  <c r="E140" i="10"/>
  <c r="D140" i="10"/>
  <c r="E139" i="10"/>
  <c r="D139" i="10"/>
  <c r="E138" i="10"/>
  <c r="D138" i="10"/>
  <c r="E137" i="10"/>
  <c r="D137" i="10"/>
  <c r="E136" i="10"/>
  <c r="D136" i="10"/>
  <c r="E135" i="10"/>
  <c r="D135" i="10"/>
  <c r="E134" i="10"/>
  <c r="D134" i="10"/>
  <c r="E133" i="10"/>
  <c r="D133" i="10"/>
  <c r="E132" i="10"/>
  <c r="D132" i="10"/>
  <c r="E131" i="10"/>
  <c r="D131" i="10"/>
  <c r="E130" i="10"/>
  <c r="D130" i="10"/>
  <c r="E129" i="10"/>
  <c r="D129" i="10"/>
  <c r="E128" i="10"/>
  <c r="D128" i="10"/>
  <c r="E127" i="10"/>
  <c r="D127" i="10"/>
  <c r="E126" i="10"/>
  <c r="D126" i="10"/>
  <c r="E125" i="10"/>
  <c r="D125" i="10"/>
  <c r="E124" i="10"/>
  <c r="D124" i="10"/>
  <c r="E123" i="10"/>
  <c r="D123" i="10"/>
  <c r="E122" i="10"/>
  <c r="D122" i="10"/>
  <c r="E105" i="10"/>
  <c r="D105" i="10"/>
  <c r="E104" i="10"/>
  <c r="D104" i="10"/>
  <c r="E103" i="10"/>
  <c r="D103" i="10"/>
  <c r="E102" i="10"/>
  <c r="D102" i="10"/>
  <c r="E101" i="10"/>
  <c r="D101" i="10"/>
  <c r="E100" i="10"/>
  <c r="D100" i="10"/>
  <c r="E99" i="10"/>
  <c r="D99" i="10"/>
  <c r="E98" i="10"/>
  <c r="D98" i="10"/>
  <c r="E97" i="10"/>
  <c r="D97" i="10"/>
  <c r="E96" i="10"/>
  <c r="D96" i="10"/>
  <c r="E95" i="10"/>
  <c r="D95" i="10"/>
  <c r="E94" i="10"/>
  <c r="D94" i="10"/>
  <c r="E93" i="10"/>
  <c r="D93" i="10"/>
  <c r="E92" i="10"/>
  <c r="D92" i="10"/>
  <c r="E91" i="10"/>
  <c r="D91" i="10"/>
  <c r="E90" i="10"/>
  <c r="D90" i="10"/>
  <c r="E89" i="10"/>
  <c r="D89" i="10"/>
  <c r="E88" i="10"/>
  <c r="D88" i="10"/>
  <c r="E87" i="10"/>
  <c r="D87" i="10"/>
  <c r="E86" i="10"/>
  <c r="D86" i="10"/>
  <c r="F51" i="10"/>
  <c r="G51" i="10"/>
  <c r="F52" i="10"/>
  <c r="G52" i="10"/>
  <c r="F53" i="10"/>
  <c r="G53" i="10"/>
  <c r="F54" i="10"/>
  <c r="G54" i="10"/>
  <c r="F55" i="10"/>
  <c r="G55" i="10"/>
  <c r="F56" i="10"/>
  <c r="G56" i="10"/>
  <c r="F57" i="10"/>
  <c r="G57" i="10"/>
  <c r="F58" i="10"/>
  <c r="G58" i="10"/>
  <c r="F59" i="10"/>
  <c r="G59" i="10"/>
  <c r="F60" i="10"/>
  <c r="G60" i="10"/>
  <c r="F61" i="10"/>
  <c r="G61" i="10"/>
  <c r="F62" i="10"/>
  <c r="G62" i="10"/>
  <c r="F63" i="10"/>
  <c r="G63" i="10"/>
  <c r="F64" i="10"/>
  <c r="G64" i="10"/>
  <c r="F65" i="10"/>
  <c r="G65" i="10"/>
  <c r="F66" i="10"/>
  <c r="G66" i="10"/>
  <c r="F67" i="10"/>
  <c r="G67" i="10"/>
  <c r="F68" i="10"/>
  <c r="G68" i="10"/>
  <c r="F69" i="10"/>
  <c r="G69" i="10"/>
  <c r="G50" i="10"/>
  <c r="F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5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32" i="10"/>
  <c r="D32" i="10"/>
  <c r="E31" i="10"/>
  <c r="D31" i="10"/>
  <c r="E30" i="10"/>
  <c r="D30" i="10"/>
  <c r="E29" i="10"/>
  <c r="D29" i="10"/>
  <c r="E28" i="10"/>
  <c r="D28" i="10"/>
  <c r="E27" i="10"/>
  <c r="D27" i="10"/>
  <c r="E26" i="10"/>
  <c r="D26" i="10"/>
  <c r="E25" i="10"/>
  <c r="D25" i="10"/>
  <c r="E24" i="10"/>
  <c r="D24" i="10"/>
  <c r="E23" i="10"/>
  <c r="D23" i="10"/>
  <c r="E22" i="10"/>
  <c r="D22" i="10"/>
  <c r="E21" i="10"/>
  <c r="D21" i="10"/>
  <c r="E20" i="10"/>
  <c r="D20" i="10"/>
  <c r="E19" i="10"/>
  <c r="D19" i="10"/>
  <c r="E18" i="10"/>
  <c r="D18" i="10"/>
  <c r="E17" i="10"/>
  <c r="D17" i="10"/>
  <c r="E16" i="10"/>
  <c r="D16" i="10"/>
  <c r="E15" i="10"/>
  <c r="D15" i="10"/>
  <c r="E14" i="10"/>
  <c r="D14" i="10"/>
  <c r="E13" i="10"/>
  <c r="D13" i="10"/>
  <c r="F50" i="9"/>
  <c r="G50" i="9"/>
  <c r="F51" i="9"/>
  <c r="G51" i="9"/>
  <c r="F52" i="9"/>
  <c r="G52" i="9"/>
  <c r="F53" i="9"/>
  <c r="G53" i="9"/>
  <c r="F54" i="9"/>
  <c r="G54" i="9"/>
  <c r="F55" i="9"/>
  <c r="G55" i="9"/>
  <c r="F56" i="9"/>
  <c r="G56" i="9"/>
  <c r="F57" i="9"/>
  <c r="G57" i="9"/>
  <c r="F58" i="9"/>
  <c r="G58" i="9"/>
  <c r="F59" i="9"/>
  <c r="G59" i="9"/>
  <c r="F60" i="9"/>
  <c r="G60" i="9"/>
  <c r="F61" i="9"/>
  <c r="G61" i="9"/>
  <c r="F62" i="9"/>
  <c r="G62" i="9"/>
  <c r="F63" i="9"/>
  <c r="G63" i="9"/>
  <c r="F64" i="9"/>
  <c r="G64" i="9"/>
  <c r="F65" i="9"/>
  <c r="G65" i="9"/>
  <c r="F66" i="9"/>
  <c r="G66" i="9"/>
  <c r="F67" i="9"/>
  <c r="G67" i="9"/>
  <c r="F68" i="9"/>
  <c r="G68" i="9"/>
  <c r="G49" i="9"/>
  <c r="F49" i="9"/>
  <c r="D50" i="9"/>
  <c r="E50" i="9"/>
  <c r="D51" i="9"/>
  <c r="E51" i="9"/>
  <c r="D52" i="9"/>
  <c r="E52" i="9"/>
  <c r="D53" i="9"/>
  <c r="E53" i="9"/>
  <c r="D54" i="9"/>
  <c r="E54" i="9"/>
  <c r="D55" i="9"/>
  <c r="E55" i="9"/>
  <c r="D56" i="9"/>
  <c r="E56" i="9"/>
  <c r="D57" i="9"/>
  <c r="E57" i="9"/>
  <c r="D58" i="9"/>
  <c r="E58" i="9"/>
  <c r="D59" i="9"/>
  <c r="E59" i="9"/>
  <c r="D60" i="9"/>
  <c r="E60" i="9"/>
  <c r="D61" i="9"/>
  <c r="E61" i="9"/>
  <c r="D62" i="9"/>
  <c r="E62" i="9"/>
  <c r="D63" i="9"/>
  <c r="E63" i="9"/>
  <c r="D64" i="9"/>
  <c r="E64" i="9"/>
  <c r="D65" i="9"/>
  <c r="E65" i="9"/>
  <c r="D66" i="9"/>
  <c r="E66" i="9"/>
  <c r="D67" i="9"/>
  <c r="E67" i="9"/>
  <c r="D68" i="9"/>
  <c r="E68" i="9"/>
  <c r="D49" i="9"/>
  <c r="E49" i="9"/>
  <c r="E32" i="9"/>
  <c r="D32" i="9"/>
  <c r="E31" i="9"/>
  <c r="D31" i="9"/>
  <c r="E30" i="9"/>
  <c r="D30" i="9"/>
  <c r="E29" i="9"/>
  <c r="D29" i="9"/>
  <c r="E28" i="9"/>
  <c r="D28" i="9"/>
  <c r="E27" i="9"/>
  <c r="D27" i="9"/>
  <c r="E26" i="9"/>
  <c r="D26" i="9"/>
  <c r="E25" i="9"/>
  <c r="D25" i="9"/>
  <c r="E24" i="9"/>
  <c r="D24" i="9"/>
  <c r="E23" i="9"/>
  <c r="D23" i="9"/>
  <c r="E22" i="9"/>
  <c r="D22" i="9"/>
  <c r="E21" i="9"/>
  <c r="D21" i="9"/>
  <c r="E20" i="9"/>
  <c r="D20" i="9"/>
  <c r="E19" i="9"/>
  <c r="D19" i="9"/>
  <c r="E18" i="9"/>
  <c r="D18" i="9"/>
  <c r="E17" i="9"/>
  <c r="D17" i="9"/>
  <c r="E16" i="9"/>
  <c r="D16" i="9"/>
  <c r="E15" i="9"/>
  <c r="D15" i="9"/>
  <c r="E14" i="9"/>
  <c r="D14" i="9"/>
  <c r="E13" i="9"/>
  <c r="D13" i="9"/>
  <c r="F50" i="8"/>
  <c r="G50" i="8"/>
  <c r="F51" i="8"/>
  <c r="G51" i="8"/>
  <c r="F52" i="8"/>
  <c r="G52" i="8"/>
  <c r="F53" i="8"/>
  <c r="G53" i="8"/>
  <c r="F54" i="8"/>
  <c r="G54" i="8"/>
  <c r="F55" i="8"/>
  <c r="G55" i="8"/>
  <c r="F56" i="8"/>
  <c r="G56" i="8"/>
  <c r="F57" i="8"/>
  <c r="G57" i="8"/>
  <c r="F58" i="8"/>
  <c r="G58" i="8"/>
  <c r="F59" i="8"/>
  <c r="G59" i="8"/>
  <c r="F60" i="8"/>
  <c r="G60" i="8"/>
  <c r="F61" i="8"/>
  <c r="G61" i="8"/>
  <c r="F62" i="8"/>
  <c r="G62" i="8"/>
  <c r="F63" i="8"/>
  <c r="G63" i="8"/>
  <c r="F64" i="8"/>
  <c r="G64" i="8"/>
  <c r="F65" i="8"/>
  <c r="G65" i="8"/>
  <c r="F66" i="8"/>
  <c r="G66" i="8"/>
  <c r="F67" i="8"/>
  <c r="G67" i="8"/>
  <c r="F68" i="8"/>
  <c r="G68" i="8"/>
  <c r="G49" i="8"/>
  <c r="F49" i="8"/>
  <c r="D50" i="8"/>
  <c r="E50" i="8"/>
  <c r="D51" i="8"/>
  <c r="E51" i="8"/>
  <c r="D52" i="8"/>
  <c r="E52" i="8"/>
  <c r="D53" i="8"/>
  <c r="E53" i="8"/>
  <c r="D54" i="8"/>
  <c r="E54" i="8"/>
  <c r="D55" i="8"/>
  <c r="E55" i="8"/>
  <c r="D56" i="8"/>
  <c r="E56" i="8"/>
  <c r="D57" i="8"/>
  <c r="E57" i="8"/>
  <c r="D58" i="8"/>
  <c r="E58" i="8"/>
  <c r="D59" i="8"/>
  <c r="E59" i="8"/>
  <c r="D60" i="8"/>
  <c r="E60" i="8"/>
  <c r="D61" i="8"/>
  <c r="E61" i="8"/>
  <c r="D62" i="8"/>
  <c r="E62" i="8"/>
  <c r="D63" i="8"/>
  <c r="E63" i="8"/>
  <c r="D64" i="8"/>
  <c r="E64" i="8"/>
  <c r="D65" i="8"/>
  <c r="E65" i="8"/>
  <c r="D66" i="8"/>
  <c r="E66" i="8"/>
  <c r="D67" i="8"/>
  <c r="E67" i="8"/>
  <c r="D68" i="8"/>
  <c r="E68" i="8"/>
  <c r="D49" i="8"/>
  <c r="E49" i="8"/>
  <c r="E32" i="8"/>
  <c r="D32" i="8"/>
  <c r="E31" i="8"/>
  <c r="D31" i="8"/>
  <c r="E30" i="8"/>
  <c r="D30" i="8"/>
  <c r="E29" i="8"/>
  <c r="D29" i="8"/>
  <c r="E28" i="8"/>
  <c r="D28" i="8"/>
  <c r="E27" i="8"/>
  <c r="D27" i="8"/>
  <c r="E26" i="8"/>
  <c r="D26" i="8"/>
  <c r="E25" i="8"/>
  <c r="D25" i="8"/>
  <c r="E24" i="8"/>
  <c r="D24" i="8"/>
  <c r="E23" i="8"/>
  <c r="D23" i="8"/>
  <c r="E22" i="8"/>
  <c r="D22" i="8"/>
  <c r="E21" i="8"/>
  <c r="D21" i="8"/>
  <c r="E20" i="8"/>
  <c r="D20" i="8"/>
  <c r="E19" i="8"/>
  <c r="D19" i="8"/>
  <c r="E18" i="8"/>
  <c r="D18" i="8"/>
  <c r="E17" i="8"/>
  <c r="D17" i="8"/>
  <c r="E16" i="8"/>
  <c r="D16" i="8"/>
  <c r="E15" i="8"/>
  <c r="D15" i="8"/>
  <c r="E14" i="8"/>
  <c r="D14" i="8"/>
  <c r="E13" i="8"/>
  <c r="D13" i="8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4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32" i="7"/>
  <c r="D32" i="7"/>
  <c r="E31" i="7"/>
  <c r="D31" i="7"/>
  <c r="E30" i="7"/>
  <c r="D30" i="7"/>
  <c r="E29" i="7"/>
  <c r="D29" i="7"/>
  <c r="E28" i="7"/>
  <c r="D28" i="7"/>
  <c r="E27" i="7"/>
  <c r="D27" i="7"/>
  <c r="E26" i="7"/>
  <c r="D26" i="7"/>
  <c r="E25" i="7"/>
  <c r="D25" i="7"/>
  <c r="E24" i="7"/>
  <c r="D24" i="7"/>
  <c r="E23" i="7"/>
  <c r="D23" i="7"/>
  <c r="E22" i="7"/>
  <c r="D22" i="7"/>
  <c r="E21" i="7"/>
  <c r="D21" i="7"/>
  <c r="E20" i="7"/>
  <c r="D20" i="7"/>
  <c r="E19" i="7"/>
  <c r="D19" i="7"/>
  <c r="E18" i="7"/>
  <c r="D18" i="7"/>
  <c r="E17" i="7"/>
  <c r="D17" i="7"/>
  <c r="E16" i="7"/>
  <c r="D16" i="7"/>
  <c r="E15" i="7"/>
  <c r="D15" i="7"/>
  <c r="E14" i="7"/>
  <c r="D14" i="7"/>
  <c r="E13" i="7"/>
  <c r="D13" i="7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4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32" i="6"/>
  <c r="D32" i="6"/>
  <c r="E31" i="6"/>
  <c r="D31" i="6"/>
  <c r="E30" i="6"/>
  <c r="D30" i="6"/>
  <c r="E29" i="6"/>
  <c r="D29" i="6"/>
  <c r="E28" i="6"/>
  <c r="D28" i="6"/>
  <c r="E27" i="6"/>
  <c r="D27" i="6"/>
  <c r="E26" i="6"/>
  <c r="D26" i="6"/>
  <c r="E25" i="6"/>
  <c r="D25" i="6"/>
  <c r="E24" i="6"/>
  <c r="D24" i="6"/>
  <c r="E23" i="6"/>
  <c r="D23" i="6"/>
  <c r="E22" i="6"/>
  <c r="D22" i="6"/>
  <c r="E21" i="6"/>
  <c r="D21" i="6"/>
  <c r="E20" i="6"/>
  <c r="D20" i="6"/>
  <c r="E19" i="6"/>
  <c r="D19" i="6"/>
  <c r="E18" i="6"/>
  <c r="D18" i="6"/>
  <c r="E17" i="6"/>
  <c r="D17" i="6"/>
  <c r="E16" i="6"/>
  <c r="D16" i="6"/>
  <c r="E15" i="6"/>
  <c r="D15" i="6"/>
  <c r="E14" i="6"/>
  <c r="D14" i="6"/>
  <c r="E13" i="6"/>
  <c r="D13" i="6"/>
  <c r="G50" i="5"/>
  <c r="H50" i="5"/>
  <c r="G51" i="5"/>
  <c r="H51" i="5"/>
  <c r="G52" i="5"/>
  <c r="H52" i="5"/>
  <c r="G53" i="5"/>
  <c r="H53" i="5"/>
  <c r="G54" i="5"/>
  <c r="H54" i="5"/>
  <c r="G55" i="5"/>
  <c r="H55" i="5"/>
  <c r="G56" i="5"/>
  <c r="H56" i="5"/>
  <c r="G57" i="5"/>
  <c r="H57" i="5"/>
  <c r="G58" i="5"/>
  <c r="H58" i="5"/>
  <c r="G59" i="5"/>
  <c r="H59" i="5"/>
  <c r="G60" i="5"/>
  <c r="H60" i="5"/>
  <c r="G61" i="5"/>
  <c r="H61" i="5"/>
  <c r="G62" i="5"/>
  <c r="H62" i="5"/>
  <c r="G63" i="5"/>
  <c r="H63" i="5"/>
  <c r="G64" i="5"/>
  <c r="H64" i="5"/>
  <c r="G65" i="5"/>
  <c r="H65" i="5"/>
  <c r="G66" i="5"/>
  <c r="H66" i="5"/>
  <c r="G67" i="5"/>
  <c r="H67" i="5"/>
  <c r="G68" i="5"/>
  <c r="H68" i="5"/>
  <c r="H49" i="5"/>
  <c r="G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4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13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49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13" i="5"/>
  <c r="H143" i="4"/>
  <c r="I143" i="4"/>
  <c r="H142" i="4"/>
  <c r="I142" i="4"/>
  <c r="H141" i="4"/>
  <c r="I141" i="4"/>
  <c r="H140" i="4"/>
  <c r="I140" i="4"/>
  <c r="H139" i="4"/>
  <c r="I139" i="4"/>
  <c r="H138" i="4"/>
  <c r="I138" i="4"/>
  <c r="H137" i="4"/>
  <c r="I137" i="4"/>
  <c r="H136" i="4"/>
  <c r="I136" i="4"/>
  <c r="H135" i="4"/>
  <c r="I135" i="4"/>
  <c r="H134" i="4"/>
  <c r="I134" i="4"/>
  <c r="H133" i="4"/>
  <c r="I133" i="4"/>
  <c r="H132" i="4"/>
  <c r="I132" i="4"/>
  <c r="H131" i="4"/>
  <c r="I131" i="4"/>
  <c r="H130" i="4"/>
  <c r="I130" i="4"/>
  <c r="H129" i="4"/>
  <c r="I129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13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92" i="4"/>
  <c r="I106" i="4"/>
  <c r="I105" i="4"/>
  <c r="I104" i="4"/>
  <c r="I103" i="4"/>
  <c r="I102" i="4"/>
  <c r="I101" i="4"/>
  <c r="I100" i="4"/>
  <c r="I99" i="4"/>
  <c r="I98" i="4"/>
  <c r="I97" i="4"/>
  <c r="I96" i="4"/>
  <c r="I95" i="4"/>
  <c r="I94" i="4"/>
  <c r="I93" i="4"/>
  <c r="I92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55" i="4"/>
  <c r="H106" i="4"/>
  <c r="H105" i="4"/>
  <c r="H104" i="4"/>
  <c r="H103" i="4"/>
  <c r="H102" i="4"/>
  <c r="H101" i="4"/>
  <c r="H100" i="4"/>
  <c r="H99" i="4"/>
  <c r="H98" i="4"/>
  <c r="H97" i="4"/>
  <c r="H96" i="4"/>
  <c r="H95" i="4"/>
  <c r="H94" i="4"/>
  <c r="H93" i="4"/>
  <c r="H92" i="4"/>
  <c r="H69" i="4"/>
  <c r="H68" i="4"/>
  <c r="H67" i="4"/>
  <c r="H66" i="4"/>
  <c r="H65" i="4"/>
  <c r="H64" i="4"/>
  <c r="H63" i="4"/>
  <c r="H62" i="4"/>
  <c r="H61" i="4"/>
  <c r="H60" i="4"/>
  <c r="H59" i="4"/>
  <c r="H58" i="4"/>
  <c r="H57" i="4"/>
  <c r="H56" i="4"/>
  <c r="H55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18" i="4"/>
  <c r="J84" i="3"/>
  <c r="J76" i="3"/>
  <c r="J68" i="3"/>
  <c r="J60" i="3"/>
  <c r="H84" i="3"/>
  <c r="I84" i="3"/>
  <c r="H76" i="3"/>
  <c r="I76" i="3"/>
  <c r="H68" i="3"/>
  <c r="I68" i="3"/>
  <c r="H60" i="3"/>
  <c r="I60" i="3"/>
  <c r="H37" i="3"/>
  <c r="I37" i="3"/>
  <c r="J37" i="3"/>
  <c r="H29" i="3"/>
  <c r="I29" i="3"/>
  <c r="J29" i="3"/>
  <c r="H21" i="3"/>
  <c r="I21" i="3"/>
  <c r="J21" i="3"/>
  <c r="J13" i="3"/>
  <c r="I13" i="3"/>
  <c r="H13" i="3"/>
  <c r="B184" i="1"/>
  <c r="C184" i="1"/>
  <c r="D184" i="1"/>
  <c r="D187" i="1"/>
  <c r="B187" i="1"/>
  <c r="E187" i="1"/>
  <c r="F187" i="1"/>
  <c r="B155" i="1"/>
  <c r="C155" i="1"/>
  <c r="D155" i="1"/>
  <c r="D158" i="1"/>
  <c r="B158" i="1"/>
  <c r="E158" i="1"/>
  <c r="F158" i="1"/>
  <c r="F128" i="1"/>
  <c r="E128" i="1"/>
  <c r="D128" i="1"/>
  <c r="B128" i="1"/>
  <c r="D125" i="1"/>
  <c r="C125" i="1"/>
  <c r="B125" i="1"/>
  <c r="F97" i="1"/>
  <c r="E97" i="1"/>
  <c r="D97" i="1"/>
  <c r="B97" i="1"/>
  <c r="D94" i="1"/>
  <c r="C94" i="1"/>
  <c r="B94" i="1"/>
  <c r="B93" i="1"/>
  <c r="E64" i="1"/>
  <c r="D64" i="1"/>
  <c r="B64" i="1"/>
  <c r="D60" i="1"/>
  <c r="C60" i="1"/>
  <c r="B60" i="1"/>
</calcChain>
</file>

<file path=xl/sharedStrings.xml><?xml version="1.0" encoding="utf-8"?>
<sst xmlns="http://schemas.openxmlformats.org/spreadsheetml/2006/main" count="1187" uniqueCount="77">
  <si>
    <t>Loading</t>
  </si>
  <si>
    <t>setup</t>
  </si>
  <si>
    <t>file</t>
  </si>
  <si>
    <t>Reading</t>
  </si>
  <si>
    <t>wave</t>
  </si>
  <si>
    <t>Wave</t>
  </si>
  <si>
    <t>parameters:</t>
  </si>
  <si>
    <t>{</t>
  </si>
  <si>
    <t>nchannels:</t>
  </si>
  <si>
    <t>2,</t>
  </si>
  <si>
    <t>sampwidth:</t>
  </si>
  <si>
    <t>3,</t>
  </si>
  <si>
    <t>framerate:</t>
  </si>
  <si>
    <t>44100,</t>
  </si>
  <si>
    <t>nframes:</t>
  </si>
  <si>
    <t>comptype:</t>
  </si>
  <si>
    <t>NONE,</t>
  </si>
  <si>
    <t>compname:</t>
  </si>
  <si>
    <t>not compressed</t>
  </si>
  <si>
    <t>}</t>
  </si>
  <si>
    <t>Expected</t>
  </si>
  <si>
    <t>frames,</t>
  </si>
  <si>
    <t>found</t>
  </si>
  <si>
    <t>Writing</t>
  </si>
  <si>
    <t>'b.json'</t>
  </si>
  <si>
    <t>'b.wav'</t>
  </si>
  <si>
    <t>'c.json'</t>
  </si>
  <si>
    <t>2162688,</t>
  </si>
  <si>
    <t>2447524,</t>
  </si>
  <si>
    <t>omega</t>
  </si>
  <si>
    <t>R</t>
  </si>
  <si>
    <t>den</t>
  </si>
  <si>
    <t>C</t>
  </si>
  <si>
    <t>1638400,</t>
  </si>
  <si>
    <t>num</t>
  </si>
  <si>
    <t>1981711,</t>
  </si>
  <si>
    <t>5446002,</t>
  </si>
  <si>
    <t>Both channels driven L/R both bursts</t>
  </si>
  <si>
    <t>5378015,</t>
  </si>
  <si>
    <t>Alternate channels driven, L/first burst and R/second burst</t>
  </si>
  <si>
    <t>5374343,</t>
  </si>
  <si>
    <t>5395065,</t>
  </si>
  <si>
    <t>5377356,</t>
  </si>
  <si>
    <t>3407872,</t>
  </si>
  <si>
    <t>100.01749672838535j</t>
  </si>
  <si>
    <t>1000.1787120622968j</t>
  </si>
  <si>
    <t>10000.507845244869j</t>
  </si>
  <si>
    <t>100017.8267149945j</t>
  </si>
  <si>
    <t>3506374,</t>
  </si>
  <si>
    <t>15 Megohms into hi-z buffer</t>
  </si>
  <si>
    <t>Added 100 Megohms across hi-Z buffer input</t>
  </si>
  <si>
    <t>3451395,</t>
  </si>
  <si>
    <t>Now 5 pF across hi-Z buffer input</t>
  </si>
  <si>
    <t>effect of 100 Megohms</t>
  </si>
  <si>
    <t>in parallel:</t>
  </si>
  <si>
    <t>3537491,</t>
  </si>
  <si>
    <t>Undid some guarding of input circuit</t>
  </si>
  <si>
    <t>pF</t>
  </si>
  <si>
    <t>3660597,</t>
  </si>
  <si>
    <t>1 Meg || 100 pF</t>
  </si>
  <si>
    <t>10 Meg || 100 pF</t>
  </si>
  <si>
    <t>15 Meg || 5 pF</t>
  </si>
  <si>
    <t>100 k || 1000 pF</t>
  </si>
  <si>
    <t>3471337,</t>
  </si>
  <si>
    <t>1 Meg || 10 nF</t>
  </si>
  <si>
    <t>3430525,</t>
  </si>
  <si>
    <t>10 Meg || 10 pF</t>
  </si>
  <si>
    <t>3536330,</t>
  </si>
  <si>
    <t>100 Meg || 10 pF</t>
  </si>
  <si>
    <t>3463086,</t>
  </si>
  <si>
    <t>Left input grounded</t>
  </si>
  <si>
    <t>Right input grounded</t>
  </si>
  <si>
    <t>Left opamp output to left input</t>
  </si>
  <si>
    <t>Right opamp output to right input</t>
  </si>
  <si>
    <t>3372383,</t>
  </si>
  <si>
    <t>3423304,</t>
  </si>
  <si>
    <t>3502849,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</si>
</sst>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0000000"/>
  </numFmts>
  <fonts count="4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0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11" fontId="0" fillId="0" borderId="0" xfId="0" applyNumberFormat="1"/>
    <xf numFmtId="164" fontId="0" fillId="0" borderId="0" xfId="0" applyNumberFormat="1"/>
    <xf numFmtId="164" fontId="3" fillId="0" borderId="0" xfId="0" applyNumberFormat="1" applyFont="1"/>
    <xf numFmtId="0" fontId="3" fillId="0" borderId="0" xfId="0" applyFont="1"/>
    <xf numFmtId="164" fontId="0" fillId="0" borderId="0" xfId="0" applyNumberFormat="1" applyFont="1"/>
  </cellXfs>
  <cellStyles count="40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Followed Hyperlink" xfId="378" builtinId="9" hidden="1"/>
    <cellStyle name="Followed Hyperlink" xfId="380" builtinId="9" hidden="1"/>
    <cellStyle name="Followed Hyperlink" xfId="382" builtinId="9" hidden="1"/>
    <cellStyle name="Followed Hyperlink" xfId="384" builtinId="9" hidden="1"/>
    <cellStyle name="Followed Hyperlink" xfId="386" builtinId="9" hidden="1"/>
    <cellStyle name="Followed Hyperlink" xfId="388" builtinId="9" hidden="1"/>
    <cellStyle name="Followed Hyperlink" xfId="390" builtinId="9" hidden="1"/>
    <cellStyle name="Followed Hyperlink" xfId="392" builtinId="9" hidden="1"/>
    <cellStyle name="Followed Hyperlink" xfId="394" builtinId="9" hidden="1"/>
    <cellStyle name="Followed Hyperlink" xfId="396" builtinId="9" hidden="1"/>
    <cellStyle name="Followed Hyperlink" xfId="398" builtinId="9" hidden="1"/>
    <cellStyle name="Followed Hyperlink" xfId="400" builtinId="9" hidden="1"/>
    <cellStyle name="Followed Hyperlink" xfId="40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Hyperlink" xfId="377" builtinId="8" hidden="1"/>
    <cellStyle name="Hyperlink" xfId="379" builtinId="8" hidden="1"/>
    <cellStyle name="Hyperlink" xfId="381" builtinId="8" hidden="1"/>
    <cellStyle name="Hyperlink" xfId="383" builtinId="8" hidden="1"/>
    <cellStyle name="Hyperlink" xfId="385" builtinId="8" hidden="1"/>
    <cellStyle name="Hyperlink" xfId="387" builtinId="8" hidden="1"/>
    <cellStyle name="Hyperlink" xfId="389" builtinId="8" hidden="1"/>
    <cellStyle name="Hyperlink" xfId="391" builtinId="8" hidden="1"/>
    <cellStyle name="Hyperlink" xfId="393" builtinId="8" hidden="1"/>
    <cellStyle name="Hyperlink" xfId="395" builtinId="8" hidden="1"/>
    <cellStyle name="Hyperlink" xfId="397" builtinId="8" hidden="1"/>
    <cellStyle name="Hyperlink" xfId="399" builtinId="8" hidden="1"/>
    <cellStyle name="Hyperlink" xfId="40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'15Meg1'!$B$15:$B$25</c:f>
              <c:numCache>
                <c:formatCode>General</c:formatCode>
                <c:ptCount val="11"/>
                <c:pt idx="0">
                  <c:v>0.994181227614518</c:v>
                </c:pt>
                <c:pt idx="1">
                  <c:v>0.99418029960025</c:v>
                </c:pt>
                <c:pt idx="2">
                  <c:v>0.994183139590886</c:v>
                </c:pt>
                <c:pt idx="3">
                  <c:v>0.994184249729299</c:v>
                </c:pt>
                <c:pt idx="4">
                  <c:v>0.994184484560178</c:v>
                </c:pt>
                <c:pt idx="5">
                  <c:v>0.994182977643584</c:v>
                </c:pt>
                <c:pt idx="6">
                  <c:v>0.994183491256519</c:v>
                </c:pt>
                <c:pt idx="7">
                  <c:v>0.994187878922692</c:v>
                </c:pt>
                <c:pt idx="8">
                  <c:v>0.994184021389034</c:v>
                </c:pt>
                <c:pt idx="9">
                  <c:v>0.994184266226558</c:v>
                </c:pt>
                <c:pt idx="10">
                  <c:v>0.994185093277996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'15Meg1'!$D$15:$D$25</c:f>
              <c:numCache>
                <c:formatCode>General</c:formatCode>
                <c:ptCount val="11"/>
                <c:pt idx="0">
                  <c:v>0.994181943228239</c:v>
                </c:pt>
                <c:pt idx="1">
                  <c:v>0.994183449234207</c:v>
                </c:pt>
                <c:pt idx="2">
                  <c:v>0.99418339749356</c:v>
                </c:pt>
                <c:pt idx="3">
                  <c:v>0.994181619176007</c:v>
                </c:pt>
                <c:pt idx="4">
                  <c:v>0.99418461047165</c:v>
                </c:pt>
                <c:pt idx="5">
                  <c:v>0.99418399977791</c:v>
                </c:pt>
                <c:pt idx="6">
                  <c:v>0.994183351693645</c:v>
                </c:pt>
                <c:pt idx="7">
                  <c:v>0.994183962414012</c:v>
                </c:pt>
                <c:pt idx="8">
                  <c:v>0.994186398543289</c:v>
                </c:pt>
                <c:pt idx="9">
                  <c:v>0.994187362934969</c:v>
                </c:pt>
                <c:pt idx="10">
                  <c:v>0.994184861727243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786984"/>
        <c:axId val="2086790376"/>
      </c:lineChart>
      <c:lineChart>
        <c:grouping val="standard"/>
        <c:varyColors val="0"/>
        <c:ser>
          <c:idx val="1"/>
          <c:order val="1"/>
          <c:val>
            <c:numRef>
              <c:f>'15Meg1'!$C$15:$C$25</c:f>
              <c:numCache>
                <c:formatCode>General</c:formatCode>
                <c:ptCount val="11"/>
                <c:pt idx="0">
                  <c:v>-0.0208774461569974</c:v>
                </c:pt>
                <c:pt idx="1">
                  <c:v>-0.0208652531291811</c:v>
                </c:pt>
                <c:pt idx="2">
                  <c:v>-0.0208613910421346</c:v>
                </c:pt>
                <c:pt idx="3">
                  <c:v>-0.0208607555011115</c:v>
                </c:pt>
                <c:pt idx="4">
                  <c:v>-0.0208610123040949</c:v>
                </c:pt>
                <c:pt idx="5">
                  <c:v>-0.0208607762840521</c:v>
                </c:pt>
                <c:pt idx="6">
                  <c:v>-0.0208605944193561</c:v>
                </c:pt>
                <c:pt idx="7">
                  <c:v>-0.0208606868922135</c:v>
                </c:pt>
                <c:pt idx="8">
                  <c:v>-0.0208599110677419</c:v>
                </c:pt>
                <c:pt idx="9">
                  <c:v>-0.0208592968148275</c:v>
                </c:pt>
                <c:pt idx="10">
                  <c:v>-0.0208592919855242</c:v>
                </c:pt>
              </c:numCache>
            </c:numRef>
          </c:val>
          <c:smooth val="0"/>
        </c:ser>
        <c:ser>
          <c:idx val="3"/>
          <c:order val="3"/>
          <c:val>
            <c:numRef>
              <c:f>'15Meg1'!$E$15:$E$25</c:f>
              <c:numCache>
                <c:formatCode>General</c:formatCode>
                <c:ptCount val="11"/>
                <c:pt idx="0">
                  <c:v>-0.0208679948041388</c:v>
                </c:pt>
                <c:pt idx="1">
                  <c:v>-0.0208634305022132</c:v>
                </c:pt>
                <c:pt idx="2">
                  <c:v>-0.0208607782434293</c:v>
                </c:pt>
                <c:pt idx="3">
                  <c:v>-0.0208608314741269</c:v>
                </c:pt>
                <c:pt idx="4">
                  <c:v>-0.0208612500331104</c:v>
                </c:pt>
                <c:pt idx="5">
                  <c:v>-0.0208607743206575</c:v>
                </c:pt>
                <c:pt idx="6">
                  <c:v>-0.0208613454535519</c:v>
                </c:pt>
                <c:pt idx="7">
                  <c:v>-0.0208596065659063</c:v>
                </c:pt>
                <c:pt idx="8">
                  <c:v>-0.0208600854412684</c:v>
                </c:pt>
                <c:pt idx="9">
                  <c:v>-0.0208601530641412</c:v>
                </c:pt>
                <c:pt idx="10">
                  <c:v>-0.0208616412496921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796344"/>
        <c:axId val="2086793352"/>
      </c:lineChart>
      <c:catAx>
        <c:axId val="20867869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86790376"/>
        <c:crosses val="autoZero"/>
        <c:auto val="1"/>
        <c:lblAlgn val="ctr"/>
        <c:lblOffset val="100"/>
        <c:noMultiLvlLbl val="0"/>
      </c:catAx>
      <c:valAx>
        <c:axId val="2086790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6786984"/>
        <c:crosses val="autoZero"/>
        <c:crossBetween val="between"/>
      </c:valAx>
      <c:valAx>
        <c:axId val="20867933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86796344"/>
        <c:crosses val="max"/>
        <c:crossBetween val="between"/>
      </c:valAx>
      <c:catAx>
        <c:axId val="2086796344"/>
        <c:scaling>
          <c:orientation val="minMax"/>
        </c:scaling>
        <c:delete val="1"/>
        <c:axPos val="b"/>
        <c:majorTickMark val="out"/>
        <c:minorTickMark val="none"/>
        <c:tickLblPos val="nextTo"/>
        <c:crossAx val="208679335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'15Meg1'!$B$45:$B$55</c:f>
              <c:numCache>
                <c:formatCode>General</c:formatCode>
                <c:ptCount val="11"/>
                <c:pt idx="0">
                  <c:v>0.994308022933891</c:v>
                </c:pt>
                <c:pt idx="1">
                  <c:v>0.994301225842791</c:v>
                </c:pt>
                <c:pt idx="2">
                  <c:v>0.994303337101379</c:v>
                </c:pt>
                <c:pt idx="3">
                  <c:v>0.99430145268118</c:v>
                </c:pt>
                <c:pt idx="4">
                  <c:v>0.99430430544719</c:v>
                </c:pt>
                <c:pt idx="5">
                  <c:v>0.994303359081658</c:v>
                </c:pt>
                <c:pt idx="6">
                  <c:v>0.994303591427683</c:v>
                </c:pt>
                <c:pt idx="7">
                  <c:v>0.994300107879669</c:v>
                </c:pt>
                <c:pt idx="8">
                  <c:v>0.994303138065126</c:v>
                </c:pt>
                <c:pt idx="9">
                  <c:v>0.994303931072613</c:v>
                </c:pt>
                <c:pt idx="10">
                  <c:v>0.994302457580094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'15Meg1'!$D$45:$D$55</c:f>
              <c:numCache>
                <c:formatCode>General</c:formatCode>
                <c:ptCount val="11"/>
                <c:pt idx="0">
                  <c:v>0.994307001386069</c:v>
                </c:pt>
                <c:pt idx="1">
                  <c:v>0.99430230152331</c:v>
                </c:pt>
                <c:pt idx="2">
                  <c:v>0.994303332134103</c:v>
                </c:pt>
                <c:pt idx="3">
                  <c:v>0.994302472099452</c:v>
                </c:pt>
                <c:pt idx="4">
                  <c:v>0.994302091842526</c:v>
                </c:pt>
                <c:pt idx="5">
                  <c:v>0.994301782394765</c:v>
                </c:pt>
                <c:pt idx="6">
                  <c:v>0.994304930412725</c:v>
                </c:pt>
                <c:pt idx="7">
                  <c:v>0.994302381983683</c:v>
                </c:pt>
                <c:pt idx="8">
                  <c:v>0.994301867677032</c:v>
                </c:pt>
                <c:pt idx="9">
                  <c:v>0.994304493572089</c:v>
                </c:pt>
                <c:pt idx="10">
                  <c:v>0.9943025501675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361992"/>
        <c:axId val="2088365272"/>
      </c:lineChart>
      <c:lineChart>
        <c:grouping val="standard"/>
        <c:varyColors val="0"/>
        <c:ser>
          <c:idx val="1"/>
          <c:order val="1"/>
          <c:val>
            <c:numRef>
              <c:f>'15Meg1'!$C$45:$C$55</c:f>
              <c:numCache>
                <c:formatCode>General</c:formatCode>
                <c:ptCount val="11"/>
                <c:pt idx="0">
                  <c:v>-0.0209167577812962</c:v>
                </c:pt>
                <c:pt idx="1">
                  <c:v>-0.020904611897338</c:v>
                </c:pt>
                <c:pt idx="2">
                  <c:v>-0.0209035349591656</c:v>
                </c:pt>
                <c:pt idx="3">
                  <c:v>-0.0209018041364919</c:v>
                </c:pt>
                <c:pt idx="4">
                  <c:v>-0.0209011258319181</c:v>
                </c:pt>
                <c:pt idx="5">
                  <c:v>-0.0209014490365206</c:v>
                </c:pt>
                <c:pt idx="6">
                  <c:v>-0.0208994100727243</c:v>
                </c:pt>
                <c:pt idx="7">
                  <c:v>-0.0209016174986356</c:v>
                </c:pt>
                <c:pt idx="8">
                  <c:v>-0.0209018849310823</c:v>
                </c:pt>
                <c:pt idx="9">
                  <c:v>-0.0209008167701632</c:v>
                </c:pt>
                <c:pt idx="10">
                  <c:v>-0.0209016560393427</c:v>
                </c:pt>
              </c:numCache>
            </c:numRef>
          </c:val>
          <c:smooth val="0"/>
        </c:ser>
        <c:ser>
          <c:idx val="3"/>
          <c:order val="3"/>
          <c:val>
            <c:numRef>
              <c:f>'15Meg1'!$E$45:$E$55</c:f>
              <c:numCache>
                <c:formatCode>General</c:formatCode>
                <c:ptCount val="11"/>
                <c:pt idx="0">
                  <c:v>-0.0209085197533816</c:v>
                </c:pt>
                <c:pt idx="1">
                  <c:v>-0.0209026311713269</c:v>
                </c:pt>
                <c:pt idx="2">
                  <c:v>-0.0209014516865941</c:v>
                </c:pt>
                <c:pt idx="3">
                  <c:v>-0.020901352982501</c:v>
                </c:pt>
                <c:pt idx="4">
                  <c:v>-0.0209018707196056</c:v>
                </c:pt>
                <c:pt idx="5">
                  <c:v>-0.020900656104588</c:v>
                </c:pt>
                <c:pt idx="6">
                  <c:v>-0.0209010834101966</c:v>
                </c:pt>
                <c:pt idx="7">
                  <c:v>-0.0209015896443555</c:v>
                </c:pt>
                <c:pt idx="8">
                  <c:v>-0.0209021551709628</c:v>
                </c:pt>
                <c:pt idx="9">
                  <c:v>-0.020902051335192</c:v>
                </c:pt>
                <c:pt idx="10">
                  <c:v>-0.020901890455358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371240"/>
        <c:axId val="2088368248"/>
      </c:lineChart>
      <c:catAx>
        <c:axId val="2088361992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365272"/>
        <c:crosses val="autoZero"/>
        <c:auto val="1"/>
        <c:lblAlgn val="ctr"/>
        <c:lblOffset val="100"/>
        <c:noMultiLvlLbl val="0"/>
      </c:catAx>
      <c:valAx>
        <c:axId val="20883652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8361992"/>
        <c:crosses val="autoZero"/>
        <c:crossBetween val="between"/>
      </c:valAx>
      <c:valAx>
        <c:axId val="208836824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88371240"/>
        <c:crosses val="max"/>
        <c:crossBetween val="between"/>
      </c:valAx>
      <c:catAx>
        <c:axId val="2088371240"/>
        <c:scaling>
          <c:orientation val="minMax"/>
        </c:scaling>
        <c:delete val="1"/>
        <c:axPos val="b"/>
        <c:majorTickMark val="out"/>
        <c:minorTickMark val="none"/>
        <c:tickLblPos val="nextTo"/>
        <c:crossAx val="208836824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'15Meg1'!$B$82:$B$89</c:f>
              <c:numCache>
                <c:formatCode>General</c:formatCode>
                <c:ptCount val="8"/>
                <c:pt idx="0">
                  <c:v>0.901876372697874</c:v>
                </c:pt>
                <c:pt idx="1">
                  <c:v>0.901945127272488</c:v>
                </c:pt>
                <c:pt idx="2">
                  <c:v>0.901961648193982</c:v>
                </c:pt>
                <c:pt idx="3">
                  <c:v>0.901966193401887</c:v>
                </c:pt>
                <c:pt idx="4">
                  <c:v>0.901969713777689</c:v>
                </c:pt>
                <c:pt idx="5">
                  <c:v>0.901969356525823</c:v>
                </c:pt>
                <c:pt idx="6">
                  <c:v>0.901968709391248</c:v>
                </c:pt>
                <c:pt idx="7">
                  <c:v>0.90196866082945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'15Meg1'!$D$82:$D$89</c:f>
              <c:numCache>
                <c:formatCode>General</c:formatCode>
                <c:ptCount val="8"/>
                <c:pt idx="0">
                  <c:v>0.901924417712586</c:v>
                </c:pt>
                <c:pt idx="1">
                  <c:v>0.901954995636845</c:v>
                </c:pt>
                <c:pt idx="2">
                  <c:v>0.901965380283878</c:v>
                </c:pt>
                <c:pt idx="3">
                  <c:v>0.901966854451501</c:v>
                </c:pt>
                <c:pt idx="4">
                  <c:v>0.901969876712512</c:v>
                </c:pt>
                <c:pt idx="5">
                  <c:v>0.901967072937389</c:v>
                </c:pt>
                <c:pt idx="6">
                  <c:v>0.90196760897676</c:v>
                </c:pt>
                <c:pt idx="7">
                  <c:v>0.901967179789483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403064"/>
        <c:axId val="2088406344"/>
      </c:lineChart>
      <c:lineChart>
        <c:grouping val="standard"/>
        <c:varyColors val="0"/>
        <c:ser>
          <c:idx val="1"/>
          <c:order val="1"/>
          <c:val>
            <c:numRef>
              <c:f>'15Meg1'!$C$82:$C$89</c:f>
              <c:numCache>
                <c:formatCode>General</c:formatCode>
                <c:ptCount val="8"/>
                <c:pt idx="0">
                  <c:v>-0.280512233364086</c:v>
                </c:pt>
                <c:pt idx="1">
                  <c:v>-0.28043156877831</c:v>
                </c:pt>
                <c:pt idx="2">
                  <c:v>-0.280411750972577</c:v>
                </c:pt>
                <c:pt idx="3">
                  <c:v>-0.280404586091627</c:v>
                </c:pt>
                <c:pt idx="4">
                  <c:v>-0.280402430412641</c:v>
                </c:pt>
                <c:pt idx="5">
                  <c:v>-0.280400307762298</c:v>
                </c:pt>
                <c:pt idx="6">
                  <c:v>-0.280398662394502</c:v>
                </c:pt>
                <c:pt idx="7">
                  <c:v>-0.280400243792722</c:v>
                </c:pt>
              </c:numCache>
            </c:numRef>
          </c:val>
          <c:smooth val="0"/>
        </c:ser>
        <c:ser>
          <c:idx val="3"/>
          <c:order val="3"/>
          <c:val>
            <c:numRef>
              <c:f>'15Meg1'!$E$82:$E$89</c:f>
              <c:numCache>
                <c:formatCode>General</c:formatCode>
                <c:ptCount val="8"/>
                <c:pt idx="0">
                  <c:v>-0.280456426076009</c:v>
                </c:pt>
                <c:pt idx="1">
                  <c:v>-0.280417759851066</c:v>
                </c:pt>
                <c:pt idx="2">
                  <c:v>-0.280408474256784</c:v>
                </c:pt>
                <c:pt idx="3">
                  <c:v>-0.280404175395173</c:v>
                </c:pt>
                <c:pt idx="4">
                  <c:v>-0.28040128532655</c:v>
                </c:pt>
                <c:pt idx="5">
                  <c:v>-0.280400166687476</c:v>
                </c:pt>
                <c:pt idx="6">
                  <c:v>-0.280399468695244</c:v>
                </c:pt>
                <c:pt idx="7">
                  <c:v>-0.280397509715099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412312"/>
        <c:axId val="2088409320"/>
      </c:lineChart>
      <c:catAx>
        <c:axId val="2088403064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406344"/>
        <c:crosses val="autoZero"/>
        <c:auto val="1"/>
        <c:lblAlgn val="ctr"/>
        <c:lblOffset val="100"/>
        <c:noMultiLvlLbl val="0"/>
      </c:catAx>
      <c:valAx>
        <c:axId val="2088406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8403064"/>
        <c:crosses val="autoZero"/>
        <c:crossBetween val="between"/>
      </c:valAx>
      <c:valAx>
        <c:axId val="208840932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88412312"/>
        <c:crosses val="max"/>
        <c:crossBetween val="between"/>
      </c:valAx>
      <c:catAx>
        <c:axId val="2088412312"/>
        <c:scaling>
          <c:orientation val="minMax"/>
        </c:scaling>
        <c:delete val="1"/>
        <c:axPos val="b"/>
        <c:majorTickMark val="out"/>
        <c:minorTickMark val="none"/>
        <c:tickLblPos val="nextTo"/>
        <c:crossAx val="2088409320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'15Meg1'!$B$115:$B$122</c:f>
              <c:numCache>
                <c:formatCode>General</c:formatCode>
                <c:ptCount val="8"/>
                <c:pt idx="0">
                  <c:v>0.901862795355113</c:v>
                </c:pt>
                <c:pt idx="1">
                  <c:v>0.901929633929186</c:v>
                </c:pt>
                <c:pt idx="2">
                  <c:v>0.901945883469198</c:v>
                </c:pt>
                <c:pt idx="3">
                  <c:v>0.901947868066995</c:v>
                </c:pt>
                <c:pt idx="4">
                  <c:v>0.90195486150995</c:v>
                </c:pt>
                <c:pt idx="5">
                  <c:v>0.901956824053854</c:v>
                </c:pt>
                <c:pt idx="6">
                  <c:v>0.901957437665851</c:v>
                </c:pt>
                <c:pt idx="7">
                  <c:v>0.901955088200322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'15Meg1'!$D$115:$D$122</c:f>
              <c:numCache>
                <c:formatCode>General</c:formatCode>
                <c:ptCount val="8"/>
                <c:pt idx="0">
                  <c:v>0.901910021758802</c:v>
                </c:pt>
                <c:pt idx="1">
                  <c:v>0.901939628692159</c:v>
                </c:pt>
                <c:pt idx="2">
                  <c:v>0.901946901652067</c:v>
                </c:pt>
                <c:pt idx="3">
                  <c:v>0.901951794782857</c:v>
                </c:pt>
                <c:pt idx="4">
                  <c:v>0.901955180352357</c:v>
                </c:pt>
                <c:pt idx="5">
                  <c:v>0.901958208938683</c:v>
                </c:pt>
                <c:pt idx="6">
                  <c:v>0.901955263494415</c:v>
                </c:pt>
                <c:pt idx="7">
                  <c:v>0.901954491119185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444120"/>
        <c:axId val="2088447400"/>
      </c:lineChart>
      <c:lineChart>
        <c:grouping val="standard"/>
        <c:varyColors val="0"/>
        <c:ser>
          <c:idx val="1"/>
          <c:order val="1"/>
          <c:val>
            <c:numRef>
              <c:f>'15Meg1'!$C$115:$C$122</c:f>
              <c:numCache>
                <c:formatCode>General</c:formatCode>
                <c:ptCount val="8"/>
                <c:pt idx="0">
                  <c:v>-0.280538567990719</c:v>
                </c:pt>
                <c:pt idx="1">
                  <c:v>-0.280450306770097</c:v>
                </c:pt>
                <c:pt idx="2">
                  <c:v>-0.280426642626577</c:v>
                </c:pt>
                <c:pt idx="3">
                  <c:v>-0.280421357843815</c:v>
                </c:pt>
                <c:pt idx="4">
                  <c:v>-0.280418836489306</c:v>
                </c:pt>
                <c:pt idx="5">
                  <c:v>-0.280418316992928</c:v>
                </c:pt>
                <c:pt idx="6">
                  <c:v>-0.280417410217807</c:v>
                </c:pt>
                <c:pt idx="7">
                  <c:v>-0.280415982088396</c:v>
                </c:pt>
              </c:numCache>
            </c:numRef>
          </c:val>
          <c:smooth val="0"/>
        </c:ser>
        <c:ser>
          <c:idx val="3"/>
          <c:order val="3"/>
          <c:val>
            <c:numRef>
              <c:f>'15Meg1'!$E$115:$E$122</c:f>
              <c:numCache>
                <c:formatCode>General</c:formatCode>
                <c:ptCount val="8"/>
                <c:pt idx="0">
                  <c:v>-0.280475786580399</c:v>
                </c:pt>
                <c:pt idx="1">
                  <c:v>-0.280434690719495</c:v>
                </c:pt>
                <c:pt idx="2">
                  <c:v>-0.280422695367078</c:v>
                </c:pt>
                <c:pt idx="3">
                  <c:v>-0.280420288951353</c:v>
                </c:pt>
                <c:pt idx="4">
                  <c:v>-0.280418521996478</c:v>
                </c:pt>
                <c:pt idx="5">
                  <c:v>-0.280416917383596</c:v>
                </c:pt>
                <c:pt idx="6">
                  <c:v>-0.280416545122638</c:v>
                </c:pt>
                <c:pt idx="7">
                  <c:v>-0.280413941113133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453368"/>
        <c:axId val="2088450376"/>
      </c:lineChart>
      <c:catAx>
        <c:axId val="2088444120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447400"/>
        <c:crosses val="autoZero"/>
        <c:auto val="1"/>
        <c:lblAlgn val="ctr"/>
        <c:lblOffset val="100"/>
        <c:noMultiLvlLbl val="0"/>
      </c:catAx>
      <c:valAx>
        <c:axId val="2088447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88444120"/>
        <c:crosses val="autoZero"/>
        <c:crossBetween val="between"/>
      </c:valAx>
      <c:valAx>
        <c:axId val="208845037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088453368"/>
        <c:crosses val="max"/>
        <c:crossBetween val="between"/>
      </c:valAx>
      <c:catAx>
        <c:axId val="2088453368"/>
        <c:scaling>
          <c:orientation val="minMax"/>
        </c:scaling>
        <c:delete val="1"/>
        <c:axPos val="b"/>
        <c:majorTickMark val="out"/>
        <c:minorTickMark val="none"/>
        <c:tickLblPos val="nextTo"/>
        <c:crossAx val="208845037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'Cal1'!$B$13:$B$44</c:f>
              <c:numCache>
                <c:formatCode>0.000000000000000000</c:formatCode>
                <c:ptCount val="32"/>
                <c:pt idx="0">
                  <c:v>0.999926700519682</c:v>
                </c:pt>
                <c:pt idx="1">
                  <c:v>0.999921814052578</c:v>
                </c:pt>
                <c:pt idx="2">
                  <c:v>0.999925734431115</c:v>
                </c:pt>
                <c:pt idx="3">
                  <c:v>0.999920200890494</c:v>
                </c:pt>
                <c:pt idx="4">
                  <c:v>0.999926369649213</c:v>
                </c:pt>
                <c:pt idx="5">
                  <c:v>0.999922606335067</c:v>
                </c:pt>
                <c:pt idx="6">
                  <c:v>0.999920412587863</c:v>
                </c:pt>
                <c:pt idx="7">
                  <c:v>0.99991999279943</c:v>
                </c:pt>
                <c:pt idx="8">
                  <c:v>0.999918906111552</c:v>
                </c:pt>
                <c:pt idx="9">
                  <c:v>0.999922482326826</c:v>
                </c:pt>
                <c:pt idx="10">
                  <c:v>0.999919980637003</c:v>
                </c:pt>
                <c:pt idx="11">
                  <c:v>0.999921476161136</c:v>
                </c:pt>
                <c:pt idx="12">
                  <c:v>0.999922064010729</c:v>
                </c:pt>
                <c:pt idx="13">
                  <c:v>0.999922911463258</c:v>
                </c:pt>
                <c:pt idx="14">
                  <c:v>0.999926333545919</c:v>
                </c:pt>
                <c:pt idx="15">
                  <c:v>0.99992488260097</c:v>
                </c:pt>
                <c:pt idx="16">
                  <c:v>0.999920152132685</c:v>
                </c:pt>
                <c:pt idx="17">
                  <c:v>0.99992092690114</c:v>
                </c:pt>
                <c:pt idx="18">
                  <c:v>0.999920920666758</c:v>
                </c:pt>
                <c:pt idx="19">
                  <c:v>0.999920315639814</c:v>
                </c:pt>
                <c:pt idx="20">
                  <c:v>0.999920652394412</c:v>
                </c:pt>
                <c:pt idx="21">
                  <c:v>0.999917692631772</c:v>
                </c:pt>
                <c:pt idx="22">
                  <c:v>0.999916637468878</c:v>
                </c:pt>
                <c:pt idx="23">
                  <c:v>0.99991619813294</c:v>
                </c:pt>
                <c:pt idx="24">
                  <c:v>0.999893599707826</c:v>
                </c:pt>
                <c:pt idx="25">
                  <c:v>0.999891795977722</c:v>
                </c:pt>
                <c:pt idx="26">
                  <c:v>0.9998936082299</c:v>
                </c:pt>
                <c:pt idx="27">
                  <c:v>0.999894239650743</c:v>
                </c:pt>
                <c:pt idx="28">
                  <c:v>0.999892531910892</c:v>
                </c:pt>
                <c:pt idx="29">
                  <c:v>0.999893041922024</c:v>
                </c:pt>
                <c:pt idx="30">
                  <c:v>0.999891612713631</c:v>
                </c:pt>
                <c:pt idx="31">
                  <c:v>0.999893055694627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'Cal1'!$D$13:$D$44</c:f>
              <c:numCache>
                <c:formatCode>0.000000000000000000</c:formatCode>
                <c:ptCount val="32"/>
                <c:pt idx="0">
                  <c:v>0.999924102445879</c:v>
                </c:pt>
                <c:pt idx="1">
                  <c:v>0.999924285826053</c:v>
                </c:pt>
                <c:pt idx="2">
                  <c:v>0.999922732421745</c:v>
                </c:pt>
                <c:pt idx="3">
                  <c:v>0.999923238301767</c:v>
                </c:pt>
                <c:pt idx="4">
                  <c:v>0.999924344230573</c:v>
                </c:pt>
                <c:pt idx="5">
                  <c:v>0.999921250591355</c:v>
                </c:pt>
                <c:pt idx="6">
                  <c:v>0.999919101271677</c:v>
                </c:pt>
                <c:pt idx="7">
                  <c:v>0.99992165086743</c:v>
                </c:pt>
                <c:pt idx="8">
                  <c:v>0.999917046266377</c:v>
                </c:pt>
                <c:pt idx="9">
                  <c:v>0.999920579830178</c:v>
                </c:pt>
                <c:pt idx="10">
                  <c:v>0.999919555245008</c:v>
                </c:pt>
                <c:pt idx="11">
                  <c:v>0.999922653911462</c:v>
                </c:pt>
                <c:pt idx="12">
                  <c:v>0.999922799412764</c:v>
                </c:pt>
                <c:pt idx="13">
                  <c:v>0.99992563064035</c:v>
                </c:pt>
                <c:pt idx="14">
                  <c:v>0.999923346838504</c:v>
                </c:pt>
                <c:pt idx="15">
                  <c:v>0.999920403374859</c:v>
                </c:pt>
                <c:pt idx="16">
                  <c:v>0.99991894514533</c:v>
                </c:pt>
                <c:pt idx="17">
                  <c:v>0.999918267726248</c:v>
                </c:pt>
                <c:pt idx="18">
                  <c:v>0.999918891920471</c:v>
                </c:pt>
                <c:pt idx="19">
                  <c:v>0.999922675386022</c:v>
                </c:pt>
                <c:pt idx="20">
                  <c:v>0.999919522363716</c:v>
                </c:pt>
                <c:pt idx="21">
                  <c:v>0.999917885371541</c:v>
                </c:pt>
                <c:pt idx="22">
                  <c:v>0.999917951113966</c:v>
                </c:pt>
                <c:pt idx="23">
                  <c:v>0.999915593152222</c:v>
                </c:pt>
                <c:pt idx="24">
                  <c:v>0.99989316416539</c:v>
                </c:pt>
                <c:pt idx="25">
                  <c:v>0.999891509541297</c:v>
                </c:pt>
                <c:pt idx="26">
                  <c:v>0.999893289058995</c:v>
                </c:pt>
                <c:pt idx="27">
                  <c:v>0.999892253829371</c:v>
                </c:pt>
                <c:pt idx="28">
                  <c:v>0.999893093129132</c:v>
                </c:pt>
                <c:pt idx="29">
                  <c:v>0.999892939048176</c:v>
                </c:pt>
                <c:pt idx="30">
                  <c:v>0.999891644645535</c:v>
                </c:pt>
                <c:pt idx="31">
                  <c:v>0.999892528186788</c:v>
                </c:pt>
              </c:numCache>
            </c:numRef>
          </c:val>
          <c:smooth val="0"/>
        </c:ser>
        <c:ser>
          <c:idx val="4"/>
          <c:order val="4"/>
          <c:val>
            <c:numRef>
              <c:f>'Cal1'!$F$13:$F$44</c:f>
              <c:numCache>
                <c:formatCode>0.000000000000000000</c:formatCode>
                <c:ptCount val="32"/>
                <c:pt idx="0">
                  <c:v>0.999922428767644</c:v>
                </c:pt>
                <c:pt idx="1">
                  <c:v>0.999909678035487</c:v>
                </c:pt>
                <c:pt idx="2">
                  <c:v>0.999936211524381</c:v>
                </c:pt>
                <c:pt idx="3">
                  <c:v>0.999935245151394</c:v>
                </c:pt>
                <c:pt idx="4">
                  <c:v>0.999932997824718</c:v>
                </c:pt>
                <c:pt idx="5">
                  <c:v>0.999926539134273</c:v>
                </c:pt>
                <c:pt idx="6">
                  <c:v>0.999920362182767</c:v>
                </c:pt>
                <c:pt idx="7">
                  <c:v>0.999905060070886</c:v>
                </c:pt>
                <c:pt idx="8">
                  <c:v>0.999921514191535</c:v>
                </c:pt>
                <c:pt idx="9">
                  <c:v>0.999915103639582</c:v>
                </c:pt>
                <c:pt idx="10">
                  <c:v>0.999930901033872</c:v>
                </c:pt>
                <c:pt idx="11">
                  <c:v>0.999917868074973</c:v>
                </c:pt>
                <c:pt idx="12">
                  <c:v>0.999918667978612</c:v>
                </c:pt>
                <c:pt idx="13">
                  <c:v>0.999915466464995</c:v>
                </c:pt>
                <c:pt idx="14">
                  <c:v>0.999920251862077</c:v>
                </c:pt>
                <c:pt idx="15">
                  <c:v>0.999923706289596</c:v>
                </c:pt>
                <c:pt idx="16">
                  <c:v>0.999912765189972</c:v>
                </c:pt>
                <c:pt idx="17">
                  <c:v>0.999912533957737</c:v>
                </c:pt>
                <c:pt idx="18">
                  <c:v>0.999914114832121</c:v>
                </c:pt>
                <c:pt idx="19">
                  <c:v>0.999930362586273</c:v>
                </c:pt>
                <c:pt idx="20">
                  <c:v>0.999923795714135</c:v>
                </c:pt>
                <c:pt idx="21">
                  <c:v>0.999923777746146</c:v>
                </c:pt>
                <c:pt idx="22">
                  <c:v>0.999921578475297</c:v>
                </c:pt>
                <c:pt idx="23">
                  <c:v>0.999923408417703</c:v>
                </c:pt>
                <c:pt idx="24">
                  <c:v>0.999886650629801</c:v>
                </c:pt>
                <c:pt idx="25">
                  <c:v>0.999902450596642</c:v>
                </c:pt>
                <c:pt idx="26">
                  <c:v>0.999896536925268</c:v>
                </c:pt>
                <c:pt idx="27">
                  <c:v>0.999896028109224</c:v>
                </c:pt>
                <c:pt idx="28">
                  <c:v>0.999876287272816</c:v>
                </c:pt>
                <c:pt idx="29">
                  <c:v>0.999886258514673</c:v>
                </c:pt>
                <c:pt idx="30">
                  <c:v>0.999890796428042</c:v>
                </c:pt>
                <c:pt idx="31">
                  <c:v>0.999884606962494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820584"/>
        <c:axId val="2086823560"/>
      </c:lineChart>
      <c:lineChart>
        <c:grouping val="standard"/>
        <c:varyColors val="0"/>
        <c:ser>
          <c:idx val="1"/>
          <c:order val="1"/>
          <c:val>
            <c:numRef>
              <c:f>'Cal1'!$C$13:$C$44</c:f>
              <c:numCache>
                <c:formatCode>0.000000000000000000</c:formatCode>
                <c:ptCount val="32"/>
                <c:pt idx="0">
                  <c:v>3.73274950651926E-6</c:v>
                </c:pt>
                <c:pt idx="1">
                  <c:v>1.41295642625337E-6</c:v>
                </c:pt>
                <c:pt idx="2">
                  <c:v>1.34338826928861E-6</c:v>
                </c:pt>
                <c:pt idx="3">
                  <c:v>2.86233646499131E-6</c:v>
                </c:pt>
                <c:pt idx="4">
                  <c:v>1.51578270380427E-6</c:v>
                </c:pt>
                <c:pt idx="5">
                  <c:v>2.46615600411588E-6</c:v>
                </c:pt>
                <c:pt idx="6">
                  <c:v>2.88748827709833E-6</c:v>
                </c:pt>
                <c:pt idx="7">
                  <c:v>2.56078903095478E-6</c:v>
                </c:pt>
                <c:pt idx="8">
                  <c:v>-7.81581825415441E-7</c:v>
                </c:pt>
                <c:pt idx="9">
                  <c:v>-8.33025382410313E-7</c:v>
                </c:pt>
                <c:pt idx="10">
                  <c:v>-4.77969546313821E-7</c:v>
                </c:pt>
                <c:pt idx="11">
                  <c:v>-1.01803433243307E-6</c:v>
                </c:pt>
                <c:pt idx="12">
                  <c:v>-3.69739986626626E-7</c:v>
                </c:pt>
                <c:pt idx="13">
                  <c:v>-5.26518553930354E-7</c:v>
                </c:pt>
                <c:pt idx="14">
                  <c:v>-7.8190396069634E-7</c:v>
                </c:pt>
                <c:pt idx="15">
                  <c:v>-7.84993217952793E-7</c:v>
                </c:pt>
                <c:pt idx="16">
                  <c:v>-1.07661452036687E-5</c:v>
                </c:pt>
                <c:pt idx="17">
                  <c:v>-1.05302718143336E-5</c:v>
                </c:pt>
                <c:pt idx="18">
                  <c:v>-1.06346301360605E-5</c:v>
                </c:pt>
                <c:pt idx="19">
                  <c:v>-1.06523901639661E-5</c:v>
                </c:pt>
                <c:pt idx="20">
                  <c:v>-1.12928279857891E-5</c:v>
                </c:pt>
                <c:pt idx="21">
                  <c:v>-1.1029999573799E-5</c:v>
                </c:pt>
                <c:pt idx="22">
                  <c:v>-1.1116401020513E-5</c:v>
                </c:pt>
                <c:pt idx="23">
                  <c:v>-1.12203917354411E-5</c:v>
                </c:pt>
                <c:pt idx="24">
                  <c:v>-1.84408670649944E-5</c:v>
                </c:pt>
                <c:pt idx="25">
                  <c:v>-1.83183896227551E-5</c:v>
                </c:pt>
                <c:pt idx="26">
                  <c:v>-1.79946292901745E-5</c:v>
                </c:pt>
                <c:pt idx="27">
                  <c:v>-1.84770648120147E-5</c:v>
                </c:pt>
                <c:pt idx="28">
                  <c:v>-1.84171825313712E-5</c:v>
                </c:pt>
                <c:pt idx="29">
                  <c:v>-1.73598958167541E-5</c:v>
                </c:pt>
                <c:pt idx="30">
                  <c:v>-1.75003127458804E-5</c:v>
                </c:pt>
                <c:pt idx="31">
                  <c:v>-1.7741985820408E-5</c:v>
                </c:pt>
              </c:numCache>
            </c:numRef>
          </c:val>
          <c:smooth val="0"/>
        </c:ser>
        <c:ser>
          <c:idx val="3"/>
          <c:order val="3"/>
          <c:val>
            <c:numRef>
              <c:f>'Cal1'!$E$13:$E$44</c:f>
              <c:numCache>
                <c:formatCode>0.000000000000000000</c:formatCode>
                <c:ptCount val="32"/>
                <c:pt idx="0">
                  <c:v>2.55666098256645E-6</c:v>
                </c:pt>
                <c:pt idx="1">
                  <c:v>2.18093007372674E-6</c:v>
                </c:pt>
                <c:pt idx="2">
                  <c:v>2.34838529118949E-6</c:v>
                </c:pt>
                <c:pt idx="3">
                  <c:v>2.57145309603028E-6</c:v>
                </c:pt>
                <c:pt idx="4">
                  <c:v>2.58887239035142E-6</c:v>
                </c:pt>
                <c:pt idx="5">
                  <c:v>2.15036266026823E-6</c:v>
                </c:pt>
                <c:pt idx="6">
                  <c:v>1.64945511140488E-6</c:v>
                </c:pt>
                <c:pt idx="7">
                  <c:v>1.43856502761355E-6</c:v>
                </c:pt>
                <c:pt idx="8">
                  <c:v>-3.10694663414311E-7</c:v>
                </c:pt>
                <c:pt idx="9">
                  <c:v>-7.27322450378305E-7</c:v>
                </c:pt>
                <c:pt idx="10">
                  <c:v>-4.85304968693407E-7</c:v>
                </c:pt>
                <c:pt idx="11">
                  <c:v>-1.05378542542186E-6</c:v>
                </c:pt>
                <c:pt idx="12">
                  <c:v>-9.08882184233873E-7</c:v>
                </c:pt>
                <c:pt idx="13">
                  <c:v>-4.72345959063375E-7</c:v>
                </c:pt>
                <c:pt idx="14">
                  <c:v>-6.19142910702263E-7</c:v>
                </c:pt>
                <c:pt idx="15">
                  <c:v>-5.96990285144205E-7</c:v>
                </c:pt>
                <c:pt idx="16">
                  <c:v>-1.07895617897619E-5</c:v>
                </c:pt>
                <c:pt idx="17">
                  <c:v>-1.05136842993584E-5</c:v>
                </c:pt>
                <c:pt idx="18">
                  <c:v>-1.09496022422471E-5</c:v>
                </c:pt>
                <c:pt idx="19">
                  <c:v>-1.09268867090364E-5</c:v>
                </c:pt>
                <c:pt idx="20">
                  <c:v>-1.11542440659733E-5</c:v>
                </c:pt>
                <c:pt idx="21">
                  <c:v>-1.11290625527107E-5</c:v>
                </c:pt>
                <c:pt idx="22">
                  <c:v>-1.12482332099022E-5</c:v>
                </c:pt>
                <c:pt idx="23">
                  <c:v>-1.18695744871844E-5</c:v>
                </c:pt>
                <c:pt idx="24">
                  <c:v>-1.89479064951591E-5</c:v>
                </c:pt>
                <c:pt idx="25">
                  <c:v>-1.88454890533338E-5</c:v>
                </c:pt>
                <c:pt idx="26">
                  <c:v>-1.89329310638821E-5</c:v>
                </c:pt>
                <c:pt idx="27">
                  <c:v>-1.90534056872027E-5</c:v>
                </c:pt>
                <c:pt idx="28">
                  <c:v>-1.8567623865992E-5</c:v>
                </c:pt>
                <c:pt idx="29">
                  <c:v>-1.83571289768523E-5</c:v>
                </c:pt>
                <c:pt idx="30">
                  <c:v>-1.77196060427414E-5</c:v>
                </c:pt>
                <c:pt idx="31">
                  <c:v>-1.69673433523088E-5</c:v>
                </c:pt>
              </c:numCache>
            </c:numRef>
          </c:val>
          <c:smooth val="0"/>
        </c:ser>
        <c:ser>
          <c:idx val="5"/>
          <c:order val="5"/>
          <c:val>
            <c:numRef>
              <c:f>'Cal1'!$G$13:$G$44</c:f>
              <c:numCache>
                <c:formatCode>0.000000000000000000</c:formatCode>
                <c:ptCount val="32"/>
                <c:pt idx="0">
                  <c:v>1.97088070257654E-6</c:v>
                </c:pt>
                <c:pt idx="1">
                  <c:v>1.26795657777877E-6</c:v>
                </c:pt>
                <c:pt idx="2">
                  <c:v>1.31671379696401E-6</c:v>
                </c:pt>
                <c:pt idx="3">
                  <c:v>3.07452653811921E-6</c:v>
                </c:pt>
                <c:pt idx="4">
                  <c:v>9.07822703734067E-7</c:v>
                </c:pt>
                <c:pt idx="5">
                  <c:v>2.79795950063178E-6</c:v>
                </c:pt>
                <c:pt idx="6">
                  <c:v>2.48278294638727E-6</c:v>
                </c:pt>
                <c:pt idx="7">
                  <c:v>1.46185622154731E-6</c:v>
                </c:pt>
                <c:pt idx="8">
                  <c:v>2.2910355425077E-6</c:v>
                </c:pt>
                <c:pt idx="9">
                  <c:v>-5.23706240445056E-7</c:v>
                </c:pt>
                <c:pt idx="10">
                  <c:v>-1.71829058034075E-6</c:v>
                </c:pt>
                <c:pt idx="11">
                  <c:v>-2.3879634457671E-6</c:v>
                </c:pt>
                <c:pt idx="12">
                  <c:v>1.22670411553286E-7</c:v>
                </c:pt>
                <c:pt idx="13">
                  <c:v>-1.16603947195705E-6</c:v>
                </c:pt>
                <c:pt idx="14">
                  <c:v>-1.17337835642808E-6</c:v>
                </c:pt>
                <c:pt idx="15">
                  <c:v>-1.16490716302882E-6</c:v>
                </c:pt>
                <c:pt idx="16">
                  <c:v>-3.82524445442554E-6</c:v>
                </c:pt>
                <c:pt idx="17">
                  <c:v>-4.74137559899327E-6</c:v>
                </c:pt>
                <c:pt idx="18">
                  <c:v>2.40509020481187E-6</c:v>
                </c:pt>
                <c:pt idx="19">
                  <c:v>-1.18296676217743E-5</c:v>
                </c:pt>
                <c:pt idx="20">
                  <c:v>-3.9767080054024E-6</c:v>
                </c:pt>
                <c:pt idx="21">
                  <c:v>-3.92323522049445E-6</c:v>
                </c:pt>
                <c:pt idx="22">
                  <c:v>-1.55021358390818E-5</c:v>
                </c:pt>
                <c:pt idx="23">
                  <c:v>-1.50623903407816E-5</c:v>
                </c:pt>
                <c:pt idx="24">
                  <c:v>-1.09969349921349E-5</c:v>
                </c:pt>
                <c:pt idx="25">
                  <c:v>-2.54600981672226E-6</c:v>
                </c:pt>
                <c:pt idx="26">
                  <c:v>-2.62648384934396E-5</c:v>
                </c:pt>
                <c:pt idx="27">
                  <c:v>1.4407168766181E-5</c:v>
                </c:pt>
                <c:pt idx="28">
                  <c:v>-7.61754427450126E-5</c:v>
                </c:pt>
                <c:pt idx="29">
                  <c:v>-2.92760918018661E-6</c:v>
                </c:pt>
                <c:pt idx="30">
                  <c:v>-5.78041496870597E-6</c:v>
                </c:pt>
                <c:pt idx="31">
                  <c:v>4.43536093132519E-5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829688"/>
        <c:axId val="2086826696"/>
      </c:lineChart>
      <c:catAx>
        <c:axId val="2086820584"/>
        <c:scaling>
          <c:orientation val="minMax"/>
        </c:scaling>
        <c:delete val="0"/>
        <c:axPos val="b"/>
        <c:majorTickMark val="out"/>
        <c:minorTickMark val="none"/>
        <c:tickLblPos val="nextTo"/>
        <c:crossAx val="2086823560"/>
        <c:crosses val="autoZero"/>
        <c:auto val="1"/>
        <c:lblAlgn val="ctr"/>
        <c:lblOffset val="100"/>
        <c:noMultiLvlLbl val="0"/>
      </c:catAx>
      <c:valAx>
        <c:axId val="2086823560"/>
        <c:scaling>
          <c:orientation val="minMax"/>
          <c:max val="0.99994"/>
          <c:min val="0.99984"/>
        </c:scaling>
        <c:delete val="0"/>
        <c:axPos val="l"/>
        <c:majorGridlines/>
        <c:numFmt formatCode="0.000000" sourceLinked="0"/>
        <c:majorTickMark val="out"/>
        <c:minorTickMark val="none"/>
        <c:tickLblPos val="nextTo"/>
        <c:crossAx val="2086820584"/>
        <c:crosses val="autoZero"/>
        <c:crossBetween val="between"/>
      </c:valAx>
      <c:valAx>
        <c:axId val="2086826696"/>
        <c:scaling>
          <c:orientation val="minMax"/>
          <c:max val="0.0002"/>
          <c:min val="-0.0002"/>
        </c:scaling>
        <c:delete val="0"/>
        <c:axPos val="r"/>
        <c:numFmt formatCode="0.000000" sourceLinked="0"/>
        <c:majorTickMark val="out"/>
        <c:minorTickMark val="none"/>
        <c:tickLblPos val="nextTo"/>
        <c:crossAx val="2086829688"/>
        <c:crosses val="max"/>
        <c:crossBetween val="between"/>
      </c:valAx>
      <c:catAx>
        <c:axId val="2086829688"/>
        <c:scaling>
          <c:orientation val="minMax"/>
        </c:scaling>
        <c:delete val="1"/>
        <c:axPos val="b"/>
        <c:majorTickMark val="out"/>
        <c:minorTickMark val="none"/>
        <c:tickLblPos val="nextTo"/>
        <c:crossAx val="208682669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'Cal1'!$B$60:$B$91</c:f>
              <c:numCache>
                <c:formatCode>0.000000000000000000</c:formatCode>
                <c:ptCount val="32"/>
                <c:pt idx="0">
                  <c:v>0.99992159065301</c:v>
                </c:pt>
                <c:pt idx="1">
                  <c:v>0.999927186417625</c:v>
                </c:pt>
                <c:pt idx="2">
                  <c:v>0.999923203848302</c:v>
                </c:pt>
                <c:pt idx="3">
                  <c:v>0.999930133793988</c:v>
                </c:pt>
                <c:pt idx="4">
                  <c:v>0.99991881132181</c:v>
                </c:pt>
                <c:pt idx="5">
                  <c:v>0.999924418867176</c:v>
                </c:pt>
                <c:pt idx="6">
                  <c:v>0.999921045279963</c:v>
                </c:pt>
                <c:pt idx="7">
                  <c:v>0.999929399849721</c:v>
                </c:pt>
                <c:pt idx="8">
                  <c:v>0.999905289135017</c:v>
                </c:pt>
                <c:pt idx="9">
                  <c:v>0.999923004919351</c:v>
                </c:pt>
                <c:pt idx="10">
                  <c:v>0.999911024589353</c:v>
                </c:pt>
                <c:pt idx="11">
                  <c:v>0.99992460521803</c:v>
                </c:pt>
                <c:pt idx="12">
                  <c:v>0.999920583843427</c:v>
                </c:pt>
                <c:pt idx="13">
                  <c:v>0.999918549543235</c:v>
                </c:pt>
                <c:pt idx="14">
                  <c:v>0.999915718495121</c:v>
                </c:pt>
                <c:pt idx="15">
                  <c:v>0.999916167114292</c:v>
                </c:pt>
                <c:pt idx="16">
                  <c:v>0.999913326814592</c:v>
                </c:pt>
                <c:pt idx="17">
                  <c:v>0.999910543869196</c:v>
                </c:pt>
                <c:pt idx="18">
                  <c:v>0.999917575039661</c:v>
                </c:pt>
                <c:pt idx="19">
                  <c:v>0.99991075969686</c:v>
                </c:pt>
                <c:pt idx="20">
                  <c:v>0.999908738339829</c:v>
                </c:pt>
                <c:pt idx="21">
                  <c:v>0.999919059030409</c:v>
                </c:pt>
                <c:pt idx="22">
                  <c:v>0.999905809027308</c:v>
                </c:pt>
                <c:pt idx="23">
                  <c:v>0.999916798577188</c:v>
                </c:pt>
                <c:pt idx="24">
                  <c:v>0.999872579906415</c:v>
                </c:pt>
                <c:pt idx="25">
                  <c:v>0.999900887451458</c:v>
                </c:pt>
                <c:pt idx="26">
                  <c:v>0.999898214084806</c:v>
                </c:pt>
                <c:pt idx="27">
                  <c:v>0.999862794765175</c:v>
                </c:pt>
                <c:pt idx="28">
                  <c:v>0.999890676381137</c:v>
                </c:pt>
                <c:pt idx="29">
                  <c:v>0.999886014986946</c:v>
                </c:pt>
                <c:pt idx="30">
                  <c:v>0.999878713332479</c:v>
                </c:pt>
                <c:pt idx="31">
                  <c:v>0.999891926074046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150936"/>
        <c:axId val="2099153912"/>
      </c:lineChart>
      <c:lineChart>
        <c:grouping val="standard"/>
        <c:varyColors val="0"/>
        <c:ser>
          <c:idx val="1"/>
          <c:order val="1"/>
          <c:val>
            <c:numRef>
              <c:f>'Cal1'!$C$60:$C$91</c:f>
              <c:numCache>
                <c:formatCode>0.000000000000000000</c:formatCode>
                <c:ptCount val="32"/>
                <c:pt idx="0">
                  <c:v>2.68721572664588E-6</c:v>
                </c:pt>
                <c:pt idx="1">
                  <c:v>3.34293321456696E-6</c:v>
                </c:pt>
                <c:pt idx="2">
                  <c:v>4.40347756985422E-6</c:v>
                </c:pt>
                <c:pt idx="3">
                  <c:v>2.72013533608985E-6</c:v>
                </c:pt>
                <c:pt idx="4">
                  <c:v>5.66941015590161E-6</c:v>
                </c:pt>
                <c:pt idx="5">
                  <c:v>2.76232025455341E-6</c:v>
                </c:pt>
                <c:pt idx="6">
                  <c:v>1.71124257638467E-7</c:v>
                </c:pt>
                <c:pt idx="7">
                  <c:v>1.53751549476446E-6</c:v>
                </c:pt>
                <c:pt idx="8">
                  <c:v>2.27302444800716E-7</c:v>
                </c:pt>
                <c:pt idx="9">
                  <c:v>1.66543201056683E-6</c:v>
                </c:pt>
                <c:pt idx="10">
                  <c:v>-1.47720737517071E-7</c:v>
                </c:pt>
                <c:pt idx="11">
                  <c:v>-7.55112542155132E-7</c:v>
                </c:pt>
                <c:pt idx="12">
                  <c:v>-2.83047239806255E-7</c:v>
                </c:pt>
                <c:pt idx="13">
                  <c:v>-2.90220299981105E-7</c:v>
                </c:pt>
                <c:pt idx="14">
                  <c:v>-5.71476743332662E-7</c:v>
                </c:pt>
                <c:pt idx="15">
                  <c:v>9.60996629034699E-7</c:v>
                </c:pt>
                <c:pt idx="16">
                  <c:v>-6.62665764092136E-6</c:v>
                </c:pt>
                <c:pt idx="17">
                  <c:v>-9.12467490976487E-6</c:v>
                </c:pt>
                <c:pt idx="18">
                  <c:v>-1.43143169527787E-5</c:v>
                </c:pt>
                <c:pt idx="19">
                  <c:v>-2.9665100836083E-5</c:v>
                </c:pt>
                <c:pt idx="20">
                  <c:v>-9.57328120160775E-6</c:v>
                </c:pt>
                <c:pt idx="21">
                  <c:v>-1.44086254629362E-5</c:v>
                </c:pt>
                <c:pt idx="22">
                  <c:v>-6.13592293491175E-6</c:v>
                </c:pt>
                <c:pt idx="23">
                  <c:v>-1.03036325054529E-5</c:v>
                </c:pt>
                <c:pt idx="24">
                  <c:v>7.00538266583071E-5</c:v>
                </c:pt>
                <c:pt idx="25">
                  <c:v>7.26363944566811E-5</c:v>
                </c:pt>
                <c:pt idx="26">
                  <c:v>-5.7720807949745E-5</c:v>
                </c:pt>
                <c:pt idx="27">
                  <c:v>-4.222555238874E-5</c:v>
                </c:pt>
                <c:pt idx="28">
                  <c:v>-1.78823001581679E-5</c:v>
                </c:pt>
                <c:pt idx="29">
                  <c:v>0.000131495634933247</c:v>
                </c:pt>
                <c:pt idx="30">
                  <c:v>-7.51584915482973E-5</c:v>
                </c:pt>
                <c:pt idx="31">
                  <c:v>-0.000196809296250315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160264"/>
        <c:axId val="2099157048"/>
      </c:lineChart>
      <c:catAx>
        <c:axId val="2099150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153912"/>
        <c:crosses val="autoZero"/>
        <c:auto val="1"/>
        <c:lblAlgn val="ctr"/>
        <c:lblOffset val="100"/>
        <c:noMultiLvlLbl val="0"/>
      </c:catAx>
      <c:valAx>
        <c:axId val="2099153912"/>
        <c:scaling>
          <c:orientation val="minMax"/>
          <c:max val="0.99994"/>
          <c:min val="0.99984"/>
        </c:scaling>
        <c:delete val="0"/>
        <c:axPos val="l"/>
        <c:majorGridlines/>
        <c:numFmt formatCode="0.000000" sourceLinked="0"/>
        <c:majorTickMark val="out"/>
        <c:minorTickMark val="none"/>
        <c:tickLblPos val="nextTo"/>
        <c:crossAx val="2099150936"/>
        <c:crosses val="autoZero"/>
        <c:crossBetween val="between"/>
      </c:valAx>
      <c:valAx>
        <c:axId val="2099157048"/>
        <c:scaling>
          <c:orientation val="minMax"/>
          <c:max val="0.0002"/>
          <c:min val="-0.0002"/>
        </c:scaling>
        <c:delete val="0"/>
        <c:axPos val="r"/>
        <c:numFmt formatCode="0.000000" sourceLinked="0"/>
        <c:majorTickMark val="out"/>
        <c:minorTickMark val="none"/>
        <c:tickLblPos val="nextTo"/>
        <c:crossAx val="2099160264"/>
        <c:crosses val="max"/>
        <c:crossBetween val="between"/>
      </c:valAx>
      <c:catAx>
        <c:axId val="209916026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9157048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'Cal2'!$C$108:$C$139</c:f>
              <c:numCache>
                <c:formatCode>0.000000000000000000</c:formatCode>
                <c:ptCount val="32"/>
                <c:pt idx="0">
                  <c:v>1.00000453094466</c:v>
                </c:pt>
                <c:pt idx="1">
                  <c:v>1.00000253614001</c:v>
                </c:pt>
                <c:pt idx="2">
                  <c:v>0.999994967862723</c:v>
                </c:pt>
                <c:pt idx="3">
                  <c:v>1.00000119172538</c:v>
                </c:pt>
                <c:pt idx="4">
                  <c:v>0.99999845979248</c:v>
                </c:pt>
                <c:pt idx="5">
                  <c:v>1.00000285135403</c:v>
                </c:pt>
                <c:pt idx="6">
                  <c:v>1.00000002299185</c:v>
                </c:pt>
                <c:pt idx="7">
                  <c:v>1.00000117357692</c:v>
                </c:pt>
                <c:pt idx="8">
                  <c:v>0.999998166203943</c:v>
                </c:pt>
                <c:pt idx="9">
                  <c:v>0.999996989867038</c:v>
                </c:pt>
                <c:pt idx="10">
                  <c:v>0.999995081570223</c:v>
                </c:pt>
                <c:pt idx="11">
                  <c:v>0.99999464664508</c:v>
                </c:pt>
                <c:pt idx="12">
                  <c:v>0.999994730495952</c:v>
                </c:pt>
                <c:pt idx="13">
                  <c:v>0.99999967198134</c:v>
                </c:pt>
                <c:pt idx="14">
                  <c:v>0.999996535689497</c:v>
                </c:pt>
                <c:pt idx="15">
                  <c:v>0.999999335759844</c:v>
                </c:pt>
                <c:pt idx="16">
                  <c:v>1.0000034363777</c:v>
                </c:pt>
                <c:pt idx="17">
                  <c:v>1.00000123285985</c:v>
                </c:pt>
                <c:pt idx="18">
                  <c:v>0.999999630041709</c:v>
                </c:pt>
                <c:pt idx="19">
                  <c:v>0.999998679604284</c:v>
                </c:pt>
                <c:pt idx="20">
                  <c:v>0.999999281248293</c:v>
                </c:pt>
                <c:pt idx="21">
                  <c:v>0.999995402655694</c:v>
                </c:pt>
                <c:pt idx="22">
                  <c:v>0.999998506360407</c:v>
                </c:pt>
                <c:pt idx="23">
                  <c:v>0.999998217071903</c:v>
                </c:pt>
                <c:pt idx="24">
                  <c:v>1.00000312629795</c:v>
                </c:pt>
                <c:pt idx="25">
                  <c:v>1.00000233392088</c:v>
                </c:pt>
                <c:pt idx="26">
                  <c:v>1.00000291243378</c:v>
                </c:pt>
                <c:pt idx="27">
                  <c:v>1.00000153443231</c:v>
                </c:pt>
                <c:pt idx="28">
                  <c:v>1.00000405047871</c:v>
                </c:pt>
                <c:pt idx="29">
                  <c:v>1.0000037858673</c:v>
                </c:pt>
                <c:pt idx="30">
                  <c:v>1.00000158560004</c:v>
                </c:pt>
                <c:pt idx="31">
                  <c:v>1.00000126830609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'Cal2'!$E$108:$E$139</c:f>
              <c:numCache>
                <c:formatCode>0.000000000000000000</c:formatCode>
                <c:ptCount val="32"/>
                <c:pt idx="0">
                  <c:v>1.00000478529951</c:v>
                </c:pt>
                <c:pt idx="1">
                  <c:v>1.00000224902861</c:v>
                </c:pt>
                <c:pt idx="2">
                  <c:v>1.00000267334564</c:v>
                </c:pt>
                <c:pt idx="3">
                  <c:v>1.00000062321222</c:v>
                </c:pt>
                <c:pt idx="4">
                  <c:v>1.00000047905887</c:v>
                </c:pt>
                <c:pt idx="5">
                  <c:v>0.999999988549982</c:v>
                </c:pt>
                <c:pt idx="6">
                  <c:v>0.999998496605966</c:v>
                </c:pt>
                <c:pt idx="7">
                  <c:v>0.999998155517136</c:v>
                </c:pt>
                <c:pt idx="8">
                  <c:v>0.999999819149594</c:v>
                </c:pt>
                <c:pt idx="9">
                  <c:v>0.999993708973135</c:v>
                </c:pt>
                <c:pt idx="10">
                  <c:v>0.999996774959184</c:v>
                </c:pt>
                <c:pt idx="11">
                  <c:v>0.999994194889209</c:v>
                </c:pt>
                <c:pt idx="12">
                  <c:v>0.999998517728164</c:v>
                </c:pt>
                <c:pt idx="13">
                  <c:v>0.999998678236002</c:v>
                </c:pt>
                <c:pt idx="14">
                  <c:v>0.999998884085459</c:v>
                </c:pt>
                <c:pt idx="15">
                  <c:v>1.00000186968935</c:v>
                </c:pt>
                <c:pt idx="16">
                  <c:v>0.999999396596106</c:v>
                </c:pt>
                <c:pt idx="17">
                  <c:v>1.00000371602077</c:v>
                </c:pt>
                <c:pt idx="18">
                  <c:v>0.999999504647668</c:v>
                </c:pt>
                <c:pt idx="19">
                  <c:v>0.99999811013782</c:v>
                </c:pt>
                <c:pt idx="20">
                  <c:v>0.99999659324361</c:v>
                </c:pt>
                <c:pt idx="21">
                  <c:v>0.999996965671112</c:v>
                </c:pt>
                <c:pt idx="22">
                  <c:v>0.999998342766431</c:v>
                </c:pt>
                <c:pt idx="23">
                  <c:v>0.999999544992411</c:v>
                </c:pt>
                <c:pt idx="24">
                  <c:v>1.00000209816405</c:v>
                </c:pt>
                <c:pt idx="25">
                  <c:v>1.00000355244288</c:v>
                </c:pt>
                <c:pt idx="26">
                  <c:v>0.999998642035027</c:v>
                </c:pt>
                <c:pt idx="27">
                  <c:v>1.00000178719751</c:v>
                </c:pt>
                <c:pt idx="28">
                  <c:v>1.00000511051074</c:v>
                </c:pt>
                <c:pt idx="29">
                  <c:v>1.00000452835202</c:v>
                </c:pt>
                <c:pt idx="30">
                  <c:v>0.999998916596942</c:v>
                </c:pt>
                <c:pt idx="31">
                  <c:v>1.00000188755008</c:v>
                </c:pt>
              </c:numCache>
            </c:numRef>
          </c:val>
          <c:smooth val="0"/>
        </c:ser>
        <c:ser>
          <c:idx val="4"/>
          <c:order val="4"/>
          <c:val>
            <c:numRef>
              <c:f>'Cal2'!$G$108:$G$139</c:f>
              <c:numCache>
                <c:formatCode>0.000000000000000000</c:formatCode>
                <c:ptCount val="32"/>
                <c:pt idx="0">
                  <c:v>0.999995677661393</c:v>
                </c:pt>
                <c:pt idx="1">
                  <c:v>0.99999555109954</c:v>
                </c:pt>
                <c:pt idx="2">
                  <c:v>1.00000339490787</c:v>
                </c:pt>
                <c:pt idx="3">
                  <c:v>0.999998762301982</c:v>
                </c:pt>
                <c:pt idx="4">
                  <c:v>1.00000167083801</c:v>
                </c:pt>
                <c:pt idx="5">
                  <c:v>0.999994345708454</c:v>
                </c:pt>
                <c:pt idx="6">
                  <c:v>1.00000094625245</c:v>
                </c:pt>
                <c:pt idx="7">
                  <c:v>1.00000618414713</c:v>
                </c:pt>
                <c:pt idx="8">
                  <c:v>0.999988031021317</c:v>
                </c:pt>
                <c:pt idx="9">
                  <c:v>0.999991627055592</c:v>
                </c:pt>
                <c:pt idx="10">
                  <c:v>0.99999813208862</c:v>
                </c:pt>
                <c:pt idx="11">
                  <c:v>1.00000188843834</c:v>
                </c:pt>
                <c:pt idx="12">
                  <c:v>0.999998455235041</c:v>
                </c:pt>
                <c:pt idx="13">
                  <c:v>0.999986529750498</c:v>
                </c:pt>
                <c:pt idx="14">
                  <c:v>1.00004536459032</c:v>
                </c:pt>
                <c:pt idx="15">
                  <c:v>0.99999238448566</c:v>
                </c:pt>
                <c:pt idx="16">
                  <c:v>0.999998477088263</c:v>
                </c:pt>
                <c:pt idx="17">
                  <c:v>1.00001013857394</c:v>
                </c:pt>
                <c:pt idx="18">
                  <c:v>1.00000211780929</c:v>
                </c:pt>
                <c:pt idx="19">
                  <c:v>0.999999443126459</c:v>
                </c:pt>
                <c:pt idx="20">
                  <c:v>0.999995691226346</c:v>
                </c:pt>
                <c:pt idx="21">
                  <c:v>0.999990754300239</c:v>
                </c:pt>
                <c:pt idx="22">
                  <c:v>0.999990964100898</c:v>
                </c:pt>
                <c:pt idx="23">
                  <c:v>0.999991589071096</c:v>
                </c:pt>
                <c:pt idx="24">
                  <c:v>1.00000155867028</c:v>
                </c:pt>
                <c:pt idx="25">
                  <c:v>1.0000062430902</c:v>
                </c:pt>
                <c:pt idx="26">
                  <c:v>1.0000140183864</c:v>
                </c:pt>
                <c:pt idx="27">
                  <c:v>1.00001052110887</c:v>
                </c:pt>
                <c:pt idx="28">
                  <c:v>1.00000676898154</c:v>
                </c:pt>
                <c:pt idx="29">
                  <c:v>1.00001702095689</c:v>
                </c:pt>
                <c:pt idx="30">
                  <c:v>1.00002023560391</c:v>
                </c:pt>
                <c:pt idx="31">
                  <c:v>0.999999845166912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213160"/>
        <c:axId val="2099216136"/>
      </c:lineChart>
      <c:lineChart>
        <c:grouping val="standard"/>
        <c:varyColors val="0"/>
        <c:ser>
          <c:idx val="1"/>
          <c:order val="1"/>
          <c:val>
            <c:numRef>
              <c:f>'Cal2'!$D$108:$D$139</c:f>
              <c:numCache>
                <c:formatCode>0.000000000000000000</c:formatCode>
                <c:ptCount val="32"/>
                <c:pt idx="0">
                  <c:v>-1.74690106555156E-6</c:v>
                </c:pt>
                <c:pt idx="1">
                  <c:v>-5.81606856919138E-7</c:v>
                </c:pt>
                <c:pt idx="2">
                  <c:v>-1.2092982299299E-6</c:v>
                </c:pt>
                <c:pt idx="3">
                  <c:v>-8.46277838669178E-7</c:v>
                </c:pt>
                <c:pt idx="4">
                  <c:v>-1.1108047537859E-6</c:v>
                </c:pt>
                <c:pt idx="5">
                  <c:v>-8.57824684911681E-7</c:v>
                </c:pt>
                <c:pt idx="6">
                  <c:v>-6.94294541373502E-7</c:v>
                </c:pt>
                <c:pt idx="7">
                  <c:v>-1.29415568802936E-6</c:v>
                </c:pt>
                <c:pt idx="8">
                  <c:v>-2.45960189010284E-7</c:v>
                </c:pt>
                <c:pt idx="9">
                  <c:v>-6.40766028182684E-7</c:v>
                </c:pt>
                <c:pt idx="10">
                  <c:v>-1.59325628113838E-7</c:v>
                </c:pt>
                <c:pt idx="11">
                  <c:v>5.9240392133326E-7</c:v>
                </c:pt>
                <c:pt idx="12">
                  <c:v>1.26547959225243E-7</c:v>
                </c:pt>
                <c:pt idx="13">
                  <c:v>2.26701988514055E-7</c:v>
                </c:pt>
                <c:pt idx="14">
                  <c:v>2.39220385099068E-7</c:v>
                </c:pt>
                <c:pt idx="15">
                  <c:v>-8.19274332362661E-8</c:v>
                </c:pt>
                <c:pt idx="16">
                  <c:v>6.66625885232484E-7</c:v>
                </c:pt>
                <c:pt idx="17">
                  <c:v>7.37631119778622E-7</c:v>
                </c:pt>
                <c:pt idx="18">
                  <c:v>9.82151396525063E-7</c:v>
                </c:pt>
                <c:pt idx="19">
                  <c:v>6.91680980471753E-7</c:v>
                </c:pt>
                <c:pt idx="20">
                  <c:v>5.41149215710531E-7</c:v>
                </c:pt>
                <c:pt idx="21">
                  <c:v>7.68074368204026E-7</c:v>
                </c:pt>
                <c:pt idx="22">
                  <c:v>9.22610563535172E-7</c:v>
                </c:pt>
                <c:pt idx="23">
                  <c:v>-9.02456152057991E-8</c:v>
                </c:pt>
                <c:pt idx="24">
                  <c:v>-1.21294033294333E-6</c:v>
                </c:pt>
                <c:pt idx="25">
                  <c:v>-1.43849832199879E-6</c:v>
                </c:pt>
                <c:pt idx="26">
                  <c:v>-1.59548951509355E-6</c:v>
                </c:pt>
                <c:pt idx="27">
                  <c:v>-1.1272094905667E-6</c:v>
                </c:pt>
                <c:pt idx="28">
                  <c:v>2.52081558369822E-7</c:v>
                </c:pt>
                <c:pt idx="29">
                  <c:v>-5.89604084705473E-7</c:v>
                </c:pt>
                <c:pt idx="30">
                  <c:v>-1.10132779390708E-6</c:v>
                </c:pt>
                <c:pt idx="31">
                  <c:v>-1.55557110056797E-6</c:v>
                </c:pt>
              </c:numCache>
            </c:numRef>
          </c:val>
          <c:smooth val="0"/>
        </c:ser>
        <c:ser>
          <c:idx val="3"/>
          <c:order val="3"/>
          <c:val>
            <c:numRef>
              <c:f>'Cal2'!$F$108:$F$139</c:f>
              <c:numCache>
                <c:formatCode>0.000000000000000000</c:formatCode>
                <c:ptCount val="32"/>
                <c:pt idx="0">
                  <c:v>-1.95673795577702E-6</c:v>
                </c:pt>
                <c:pt idx="1">
                  <c:v>-2.07371849368412E-6</c:v>
                </c:pt>
                <c:pt idx="2">
                  <c:v>-2.07807534180986E-6</c:v>
                </c:pt>
                <c:pt idx="3">
                  <c:v>-1.20437390452166E-6</c:v>
                </c:pt>
                <c:pt idx="4">
                  <c:v>-3.54499458677284E-7</c:v>
                </c:pt>
                <c:pt idx="5">
                  <c:v>-7.52586798144222E-7</c:v>
                </c:pt>
                <c:pt idx="6">
                  <c:v>-9.55382736845954E-7</c:v>
                </c:pt>
                <c:pt idx="7">
                  <c:v>-2.35581931255975E-7</c:v>
                </c:pt>
                <c:pt idx="8">
                  <c:v>-2.25832777786373E-7</c:v>
                </c:pt>
                <c:pt idx="9">
                  <c:v>-5.24188221406979E-7</c:v>
                </c:pt>
                <c:pt idx="10">
                  <c:v>7.22147883923949E-8</c:v>
                </c:pt>
                <c:pt idx="11">
                  <c:v>-9.17942621193056E-8</c:v>
                </c:pt>
                <c:pt idx="12">
                  <c:v>8.38362806454827E-8</c:v>
                </c:pt>
                <c:pt idx="13">
                  <c:v>-9.87977503531391E-8</c:v>
                </c:pt>
                <c:pt idx="14">
                  <c:v>7.54423044452187E-7</c:v>
                </c:pt>
                <c:pt idx="15">
                  <c:v>4.1182860201845E-7</c:v>
                </c:pt>
                <c:pt idx="16">
                  <c:v>7.24508457020216E-7</c:v>
                </c:pt>
                <c:pt idx="17">
                  <c:v>3.37321433835811E-7</c:v>
                </c:pt>
                <c:pt idx="18">
                  <c:v>5.56201720836552E-7</c:v>
                </c:pt>
                <c:pt idx="19">
                  <c:v>6.16513302192993E-7</c:v>
                </c:pt>
                <c:pt idx="20">
                  <c:v>7.97577155588627E-7</c:v>
                </c:pt>
                <c:pt idx="21">
                  <c:v>1.23114503891378E-6</c:v>
                </c:pt>
                <c:pt idx="22">
                  <c:v>9.20853597062228E-7</c:v>
                </c:pt>
                <c:pt idx="23">
                  <c:v>3.99393890419527E-7</c:v>
                </c:pt>
                <c:pt idx="24">
                  <c:v>-1.47191858292649E-6</c:v>
                </c:pt>
                <c:pt idx="25">
                  <c:v>-7.75947257736843E-7</c:v>
                </c:pt>
                <c:pt idx="26">
                  <c:v>-1.40609610227678E-6</c:v>
                </c:pt>
                <c:pt idx="27">
                  <c:v>-6.76887283683259E-7</c:v>
                </c:pt>
                <c:pt idx="28">
                  <c:v>-4.52424142864529E-7</c:v>
                </c:pt>
                <c:pt idx="29">
                  <c:v>2.74514753837224E-8</c:v>
                </c:pt>
                <c:pt idx="30">
                  <c:v>-1.00596905928846E-6</c:v>
                </c:pt>
                <c:pt idx="31">
                  <c:v>-2.61922860153816E-6</c:v>
                </c:pt>
              </c:numCache>
            </c:numRef>
          </c:val>
          <c:smooth val="0"/>
        </c:ser>
        <c:ser>
          <c:idx val="5"/>
          <c:order val="5"/>
          <c:val>
            <c:numRef>
              <c:f>'Cal2'!$H$108:$H$139</c:f>
              <c:numCache>
                <c:formatCode>0.000000000000000000</c:formatCode>
                <c:ptCount val="32"/>
                <c:pt idx="0">
                  <c:v>3.39095512452987E-6</c:v>
                </c:pt>
                <c:pt idx="1">
                  <c:v>-1.49709244974039E-6</c:v>
                </c:pt>
                <c:pt idx="2">
                  <c:v>-4.66453618223631E-7</c:v>
                </c:pt>
                <c:pt idx="3">
                  <c:v>1.36016982489378E-6</c:v>
                </c:pt>
                <c:pt idx="4">
                  <c:v>-2.14288723859084E-6</c:v>
                </c:pt>
                <c:pt idx="5">
                  <c:v>-1.55755770049785E-6</c:v>
                </c:pt>
                <c:pt idx="6">
                  <c:v>-1.16122116976669E-6</c:v>
                </c:pt>
                <c:pt idx="7">
                  <c:v>-1.0282602023693E-6</c:v>
                </c:pt>
                <c:pt idx="8">
                  <c:v>-5.57918689713648E-7</c:v>
                </c:pt>
                <c:pt idx="9">
                  <c:v>-8.12903275450881E-7</c:v>
                </c:pt>
                <c:pt idx="10">
                  <c:v>1.15383091836987E-7</c:v>
                </c:pt>
                <c:pt idx="11">
                  <c:v>-1.61419762814688E-7</c:v>
                </c:pt>
                <c:pt idx="12">
                  <c:v>1.37560329573485E-6</c:v>
                </c:pt>
                <c:pt idx="13">
                  <c:v>-2.20115094913705E-6</c:v>
                </c:pt>
                <c:pt idx="14">
                  <c:v>6.60998201448526E-7</c:v>
                </c:pt>
                <c:pt idx="15">
                  <c:v>5.69800900984911E-7</c:v>
                </c:pt>
                <c:pt idx="16">
                  <c:v>4.07241337292386E-6</c:v>
                </c:pt>
                <c:pt idx="17">
                  <c:v>1.36137365537276E-5</c:v>
                </c:pt>
                <c:pt idx="18">
                  <c:v>-1.62568296642686E-5</c:v>
                </c:pt>
                <c:pt idx="19">
                  <c:v>-8.57328005392396E-6</c:v>
                </c:pt>
                <c:pt idx="20">
                  <c:v>1.85901406394455E-5</c:v>
                </c:pt>
                <c:pt idx="21">
                  <c:v>2.76228627438444E-5</c:v>
                </c:pt>
                <c:pt idx="22">
                  <c:v>-1.98237752251083E-5</c:v>
                </c:pt>
                <c:pt idx="23">
                  <c:v>-5.95703742839748E-7</c:v>
                </c:pt>
                <c:pt idx="24">
                  <c:v>-0.000153895712549316</c:v>
                </c:pt>
                <c:pt idx="25">
                  <c:v>-0.000121417038477456</c:v>
                </c:pt>
                <c:pt idx="26">
                  <c:v>3.86195886751995E-5</c:v>
                </c:pt>
                <c:pt idx="27">
                  <c:v>0.000107047972301679</c:v>
                </c:pt>
                <c:pt idx="28">
                  <c:v>-0.000113272085734304</c:v>
                </c:pt>
                <c:pt idx="29">
                  <c:v>8.64439646519503E-5</c:v>
                </c:pt>
                <c:pt idx="30">
                  <c:v>0.000101616477070808</c:v>
                </c:pt>
                <c:pt idx="31">
                  <c:v>-2.82076594978334E-5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9222184"/>
        <c:axId val="2099219272"/>
      </c:lineChart>
      <c:catAx>
        <c:axId val="2099213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099216136"/>
        <c:crosses val="autoZero"/>
        <c:auto val="1"/>
        <c:lblAlgn val="ctr"/>
        <c:lblOffset val="100"/>
        <c:noMultiLvlLbl val="0"/>
      </c:catAx>
      <c:valAx>
        <c:axId val="2099216136"/>
        <c:scaling>
          <c:orientation val="minMax"/>
        </c:scaling>
        <c:delete val="0"/>
        <c:axPos val="l"/>
        <c:majorGridlines/>
        <c:numFmt formatCode="0.000000" sourceLinked="0"/>
        <c:majorTickMark val="out"/>
        <c:minorTickMark val="none"/>
        <c:tickLblPos val="nextTo"/>
        <c:crossAx val="2099213160"/>
        <c:crosses val="autoZero"/>
        <c:crossBetween val="between"/>
      </c:valAx>
      <c:valAx>
        <c:axId val="2099219272"/>
        <c:scaling>
          <c:orientation val="minMax"/>
        </c:scaling>
        <c:delete val="0"/>
        <c:axPos val="r"/>
        <c:numFmt formatCode="0.000000" sourceLinked="0"/>
        <c:majorTickMark val="out"/>
        <c:minorTickMark val="none"/>
        <c:tickLblPos val="nextTo"/>
        <c:crossAx val="2099222184"/>
        <c:crosses val="max"/>
        <c:crossBetween val="between"/>
      </c:valAx>
      <c:catAx>
        <c:axId val="2099222184"/>
        <c:scaling>
          <c:orientation val="minMax"/>
        </c:scaling>
        <c:delete val="1"/>
        <c:axPos val="b"/>
        <c:majorTickMark val="out"/>
        <c:minorTickMark val="none"/>
        <c:tickLblPos val="nextTo"/>
        <c:crossAx val="2099219272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'15Meg2'!$E$18:$E$32</c:f>
              <c:numCache>
                <c:formatCode>0.000000000000000000</c:formatCode>
                <c:ptCount val="15"/>
                <c:pt idx="0">
                  <c:v>2.29153172231597E-5</c:v>
                </c:pt>
                <c:pt idx="1">
                  <c:v>2.29152311252985E-5</c:v>
                </c:pt>
                <c:pt idx="2">
                  <c:v>2.29140341066568E-5</c:v>
                </c:pt>
                <c:pt idx="3">
                  <c:v>2.29123730111078E-5</c:v>
                </c:pt>
                <c:pt idx="4">
                  <c:v>2.29149235742736E-5</c:v>
                </c:pt>
                <c:pt idx="5">
                  <c:v>3.31684833865514E-5</c:v>
                </c:pt>
                <c:pt idx="6">
                  <c:v>3.31713554894185E-5</c:v>
                </c:pt>
                <c:pt idx="7">
                  <c:v>3.31721976625453E-5</c:v>
                </c:pt>
                <c:pt idx="8">
                  <c:v>3.31724991263974E-5</c:v>
                </c:pt>
                <c:pt idx="9">
                  <c:v>3.31717612992928E-5</c:v>
                </c:pt>
                <c:pt idx="10">
                  <c:v>3.19637146381756E-5</c:v>
                </c:pt>
                <c:pt idx="11">
                  <c:v>3.19731874819088E-5</c:v>
                </c:pt>
                <c:pt idx="12">
                  <c:v>3.19804359757565E-5</c:v>
                </c:pt>
                <c:pt idx="13">
                  <c:v>3.19858067968077E-5</c:v>
                </c:pt>
                <c:pt idx="14">
                  <c:v>3.19912501014154E-5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'15Meg2'!$F$18:$F$32</c:f>
              <c:numCache>
                <c:formatCode>0.000000000000000000</c:formatCode>
                <c:ptCount val="15"/>
                <c:pt idx="0">
                  <c:v>-5.30993270443012E-6</c:v>
                </c:pt>
                <c:pt idx="1">
                  <c:v>-5.31556598201346E-6</c:v>
                </c:pt>
                <c:pt idx="2">
                  <c:v>-5.31685514285465E-6</c:v>
                </c:pt>
                <c:pt idx="3">
                  <c:v>-5.309916547921E-6</c:v>
                </c:pt>
                <c:pt idx="4">
                  <c:v>-5.30263137914374E-6</c:v>
                </c:pt>
                <c:pt idx="5">
                  <c:v>-1.09923385042156E-6</c:v>
                </c:pt>
                <c:pt idx="6">
                  <c:v>-1.10008925681534E-6</c:v>
                </c:pt>
                <c:pt idx="7">
                  <c:v>-1.09898480274279E-6</c:v>
                </c:pt>
                <c:pt idx="8">
                  <c:v>-1.09924178092257E-6</c:v>
                </c:pt>
                <c:pt idx="9">
                  <c:v>-1.09969686186143E-6</c:v>
                </c:pt>
                <c:pt idx="10">
                  <c:v>-6.08705415965756E-6</c:v>
                </c:pt>
                <c:pt idx="11">
                  <c:v>-6.08649263847559E-6</c:v>
                </c:pt>
                <c:pt idx="12">
                  <c:v>-6.08949205073282E-6</c:v>
                </c:pt>
                <c:pt idx="13">
                  <c:v>-6.08991041105148E-6</c:v>
                </c:pt>
                <c:pt idx="14">
                  <c:v>-6.08716129404882E-6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44552"/>
        <c:axId val="2100047528"/>
      </c:lineChart>
      <c:catAx>
        <c:axId val="2100044552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047528"/>
        <c:crosses val="autoZero"/>
        <c:auto val="1"/>
        <c:lblAlgn val="ctr"/>
        <c:lblOffset val="100"/>
        <c:noMultiLvlLbl val="0"/>
      </c:catAx>
      <c:valAx>
        <c:axId val="2100047528"/>
        <c:scaling>
          <c:orientation val="minMax"/>
        </c:scaling>
        <c:delete val="0"/>
        <c:axPos val="l"/>
        <c:majorGridlines/>
        <c:numFmt formatCode="0.000000000000000000" sourceLinked="1"/>
        <c:majorTickMark val="out"/>
        <c:minorTickMark val="none"/>
        <c:tickLblPos val="nextTo"/>
        <c:crossAx val="2100044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'15Meg2'!$E$18:$E$32</c:f>
              <c:numCache>
                <c:formatCode>0.000000000000000000</c:formatCode>
                <c:ptCount val="15"/>
                <c:pt idx="0">
                  <c:v>2.29153172231597E-5</c:v>
                </c:pt>
                <c:pt idx="1">
                  <c:v>2.29152311252985E-5</c:v>
                </c:pt>
                <c:pt idx="2">
                  <c:v>2.29140341066568E-5</c:v>
                </c:pt>
                <c:pt idx="3">
                  <c:v>2.29123730111078E-5</c:v>
                </c:pt>
                <c:pt idx="4">
                  <c:v>2.29149235742736E-5</c:v>
                </c:pt>
                <c:pt idx="5">
                  <c:v>3.31684833865514E-5</c:v>
                </c:pt>
                <c:pt idx="6">
                  <c:v>3.31713554894185E-5</c:v>
                </c:pt>
                <c:pt idx="7">
                  <c:v>3.31721976625453E-5</c:v>
                </c:pt>
                <c:pt idx="8">
                  <c:v>3.31724991263974E-5</c:v>
                </c:pt>
                <c:pt idx="9">
                  <c:v>3.31717612992928E-5</c:v>
                </c:pt>
                <c:pt idx="10">
                  <c:v>3.19637146381756E-5</c:v>
                </c:pt>
                <c:pt idx="11">
                  <c:v>3.19731874819088E-5</c:v>
                </c:pt>
                <c:pt idx="12">
                  <c:v>3.19804359757565E-5</c:v>
                </c:pt>
                <c:pt idx="13">
                  <c:v>3.19858067968077E-5</c:v>
                </c:pt>
                <c:pt idx="14">
                  <c:v>3.19912501014154E-5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'15Meg2'!$F$18:$F$32</c:f>
              <c:numCache>
                <c:formatCode>0.000000000000000000</c:formatCode>
                <c:ptCount val="15"/>
                <c:pt idx="0">
                  <c:v>-5.30993270443012E-6</c:v>
                </c:pt>
                <c:pt idx="1">
                  <c:v>-5.31556598201346E-6</c:v>
                </c:pt>
                <c:pt idx="2">
                  <c:v>-5.31685514285465E-6</c:v>
                </c:pt>
                <c:pt idx="3">
                  <c:v>-5.309916547921E-6</c:v>
                </c:pt>
                <c:pt idx="4">
                  <c:v>-5.30263137914374E-6</c:v>
                </c:pt>
                <c:pt idx="5">
                  <c:v>-1.09923385042156E-6</c:v>
                </c:pt>
                <c:pt idx="6">
                  <c:v>-1.10008925681534E-6</c:v>
                </c:pt>
                <c:pt idx="7">
                  <c:v>-1.09898480274279E-6</c:v>
                </c:pt>
                <c:pt idx="8">
                  <c:v>-1.09924178092257E-6</c:v>
                </c:pt>
                <c:pt idx="9">
                  <c:v>-1.09969686186143E-6</c:v>
                </c:pt>
                <c:pt idx="10">
                  <c:v>-6.08705415965756E-6</c:v>
                </c:pt>
                <c:pt idx="11">
                  <c:v>-6.08649263847559E-6</c:v>
                </c:pt>
                <c:pt idx="12">
                  <c:v>-6.08949205073282E-6</c:v>
                </c:pt>
                <c:pt idx="13">
                  <c:v>-6.08991041105148E-6</c:v>
                </c:pt>
                <c:pt idx="14">
                  <c:v>-6.08716129404882E-6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'15Meg2'!$E$55:$E$69</c:f>
              <c:numCache>
                <c:formatCode>0.000000000000000000</c:formatCode>
                <c:ptCount val="15"/>
                <c:pt idx="0">
                  <c:v>2.34424278492821E-5</c:v>
                </c:pt>
                <c:pt idx="1">
                  <c:v>2.34431327916805E-5</c:v>
                </c:pt>
                <c:pt idx="2">
                  <c:v>2.3439113112362E-5</c:v>
                </c:pt>
                <c:pt idx="3">
                  <c:v>2.34459025948512E-5</c:v>
                </c:pt>
                <c:pt idx="4">
                  <c:v>2.34441890856562E-5</c:v>
                </c:pt>
                <c:pt idx="5">
                  <c:v>3.52534987448486E-5</c:v>
                </c:pt>
                <c:pt idx="6">
                  <c:v>3.52518354418717E-5</c:v>
                </c:pt>
                <c:pt idx="7">
                  <c:v>3.52531004447822E-5</c:v>
                </c:pt>
                <c:pt idx="8">
                  <c:v>3.52546965918278E-5</c:v>
                </c:pt>
                <c:pt idx="9">
                  <c:v>3.52546103501322E-5</c:v>
                </c:pt>
                <c:pt idx="10">
                  <c:v>3.39787029782329E-5</c:v>
                </c:pt>
                <c:pt idx="11">
                  <c:v>3.39852373297911E-5</c:v>
                </c:pt>
                <c:pt idx="12">
                  <c:v>3.39935916641706E-5</c:v>
                </c:pt>
                <c:pt idx="13">
                  <c:v>3.39981298289902E-5</c:v>
                </c:pt>
                <c:pt idx="14">
                  <c:v>3.39998269589737E-5</c:v>
                </c:pt>
              </c:numCache>
            </c:numRef>
          </c:val>
          <c:smooth val="0"/>
        </c:ser>
        <c:ser>
          <c:idx val="3"/>
          <c:order val="3"/>
          <c:val>
            <c:numRef>
              <c:f>'15Meg2'!$F$55:$F$69</c:f>
              <c:numCache>
                <c:formatCode>0.000000000000000000</c:formatCode>
                <c:ptCount val="15"/>
                <c:pt idx="0">
                  <c:v>-0.00015470870521479</c:v>
                </c:pt>
                <c:pt idx="1">
                  <c:v>-0.000154705800600308</c:v>
                </c:pt>
                <c:pt idx="2">
                  <c:v>-0.000154694476666176</c:v>
                </c:pt>
                <c:pt idx="3">
                  <c:v>-0.000154700251628548</c:v>
                </c:pt>
                <c:pt idx="4">
                  <c:v>-0.000154722930101623</c:v>
                </c:pt>
                <c:pt idx="5">
                  <c:v>-1.60662356615869E-5</c:v>
                </c:pt>
                <c:pt idx="6">
                  <c:v>-1.60657857267759E-5</c:v>
                </c:pt>
                <c:pt idx="7">
                  <c:v>-1.60665862148704E-5</c:v>
                </c:pt>
                <c:pt idx="8">
                  <c:v>-1.60656034656994E-5</c:v>
                </c:pt>
                <c:pt idx="9">
                  <c:v>-1.60662242370995E-5</c:v>
                </c:pt>
                <c:pt idx="10">
                  <c:v>-7.97895021048629E-6</c:v>
                </c:pt>
                <c:pt idx="11">
                  <c:v>-7.98411438753263E-6</c:v>
                </c:pt>
                <c:pt idx="12">
                  <c:v>-7.97800186124297E-6</c:v>
                </c:pt>
                <c:pt idx="13">
                  <c:v>-7.97814421307296E-6</c:v>
                </c:pt>
                <c:pt idx="14">
                  <c:v>-7.98099151732434E-6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080520"/>
        <c:axId val="2100083640"/>
      </c:lineChart>
      <c:catAx>
        <c:axId val="2100080520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083640"/>
        <c:crosses val="autoZero"/>
        <c:auto val="1"/>
        <c:lblAlgn val="ctr"/>
        <c:lblOffset val="100"/>
        <c:noMultiLvlLbl val="0"/>
      </c:catAx>
      <c:valAx>
        <c:axId val="2100083640"/>
        <c:scaling>
          <c:orientation val="minMax"/>
        </c:scaling>
        <c:delete val="0"/>
        <c:axPos val="l"/>
        <c:majorGridlines/>
        <c:numFmt formatCode="0.000000000000000000" sourceLinked="1"/>
        <c:majorTickMark val="out"/>
        <c:minorTickMark val="none"/>
        <c:tickLblPos val="nextTo"/>
        <c:crossAx val="21000805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TimeConst1!$D$13:$D$32</c:f>
              <c:numCache>
                <c:formatCode>General</c:formatCode>
                <c:ptCount val="20"/>
                <c:pt idx="0">
                  <c:v>0.0010925544764183</c:v>
                </c:pt>
                <c:pt idx="1">
                  <c:v>0.0010925388901526</c:v>
                </c:pt>
                <c:pt idx="2">
                  <c:v>0.00109256009276594</c:v>
                </c:pt>
                <c:pt idx="3">
                  <c:v>0.00109257576409568</c:v>
                </c:pt>
                <c:pt idx="4">
                  <c:v>0.00109257838509307</c:v>
                </c:pt>
                <c:pt idx="5">
                  <c:v>0.00109120152146817</c:v>
                </c:pt>
                <c:pt idx="6">
                  <c:v>0.00109119074549179</c:v>
                </c:pt>
                <c:pt idx="7">
                  <c:v>0.00109116864372734</c:v>
                </c:pt>
                <c:pt idx="8">
                  <c:v>0.00109112433728994</c:v>
                </c:pt>
                <c:pt idx="9">
                  <c:v>0.001091108842614</c:v>
                </c:pt>
                <c:pt idx="10">
                  <c:v>0.00109024612351539</c:v>
                </c:pt>
                <c:pt idx="11">
                  <c:v>0.00109024800843887</c:v>
                </c:pt>
                <c:pt idx="12">
                  <c:v>0.0010902477614939</c:v>
                </c:pt>
                <c:pt idx="13">
                  <c:v>0.00109025549258307</c:v>
                </c:pt>
                <c:pt idx="14">
                  <c:v>0.00109028877511551</c:v>
                </c:pt>
                <c:pt idx="15">
                  <c:v>0.00106977605235328</c:v>
                </c:pt>
                <c:pt idx="16">
                  <c:v>0.00106982198262232</c:v>
                </c:pt>
                <c:pt idx="17">
                  <c:v>0.00106990858264052</c:v>
                </c:pt>
                <c:pt idx="18">
                  <c:v>0.0010698311373733</c:v>
                </c:pt>
                <c:pt idx="19">
                  <c:v>0.0010698586952121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TimeConst1!$D$49:$D$68</c:f>
              <c:numCache>
                <c:formatCode>General</c:formatCode>
                <c:ptCount val="20"/>
                <c:pt idx="0">
                  <c:v>0.00109321523318536</c:v>
                </c:pt>
                <c:pt idx="1">
                  <c:v>0.00109318929661688</c:v>
                </c:pt>
                <c:pt idx="2">
                  <c:v>0.00109319454110954</c:v>
                </c:pt>
                <c:pt idx="3">
                  <c:v>0.00109317159024718</c:v>
                </c:pt>
                <c:pt idx="4">
                  <c:v>0.00109311309219143</c:v>
                </c:pt>
                <c:pt idx="5">
                  <c:v>0.00109170773694296</c:v>
                </c:pt>
                <c:pt idx="6">
                  <c:v>0.00109170086319791</c:v>
                </c:pt>
                <c:pt idx="7">
                  <c:v>0.00109170107924733</c:v>
                </c:pt>
                <c:pt idx="8">
                  <c:v>0.00109169297613619</c:v>
                </c:pt>
                <c:pt idx="9">
                  <c:v>0.00109168509754144</c:v>
                </c:pt>
                <c:pt idx="10">
                  <c:v>0.00109102569319276</c:v>
                </c:pt>
                <c:pt idx="11">
                  <c:v>0.00109100466502966</c:v>
                </c:pt>
                <c:pt idx="12">
                  <c:v>0.00109094682627326</c:v>
                </c:pt>
                <c:pt idx="13">
                  <c:v>0.00109091904642181</c:v>
                </c:pt>
                <c:pt idx="14">
                  <c:v>0.00109092358807838</c:v>
                </c:pt>
                <c:pt idx="15">
                  <c:v>0.0010913325893152</c:v>
                </c:pt>
                <c:pt idx="16">
                  <c:v>0.00109135341799288</c:v>
                </c:pt>
                <c:pt idx="17">
                  <c:v>0.00109134670668314</c:v>
                </c:pt>
                <c:pt idx="18">
                  <c:v>0.00109128330077015</c:v>
                </c:pt>
                <c:pt idx="19">
                  <c:v>0.0010913135431688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125160"/>
        <c:axId val="2100128136"/>
      </c:lineChart>
      <c:catAx>
        <c:axId val="2100125160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128136"/>
        <c:crosses val="autoZero"/>
        <c:auto val="1"/>
        <c:lblAlgn val="ctr"/>
        <c:lblOffset val="100"/>
        <c:noMultiLvlLbl val="0"/>
      </c:catAx>
      <c:valAx>
        <c:axId val="2100128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01251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TimeConst1!$G$49:$G$68</c:f>
              <c:numCache>
                <c:formatCode>General</c:formatCode>
                <c:ptCount val="20"/>
                <c:pt idx="0">
                  <c:v>0.99939756393169</c:v>
                </c:pt>
                <c:pt idx="1">
                  <c:v>0.999407062433143</c:v>
                </c:pt>
                <c:pt idx="2">
                  <c:v>0.999421680907437</c:v>
                </c:pt>
                <c:pt idx="3">
                  <c:v>0.999456967010097</c:v>
                </c:pt>
                <c:pt idx="4">
                  <c:v>0.999512853836658</c:v>
                </c:pt>
                <c:pt idx="5">
                  <c:v>0.999540645170824</c:v>
                </c:pt>
                <c:pt idx="6">
                  <c:v>0.999537065892495</c:v>
                </c:pt>
                <c:pt idx="7">
                  <c:v>0.99951661452683</c:v>
                </c:pt>
                <c:pt idx="8">
                  <c:v>0.999483451157115</c:v>
                </c:pt>
                <c:pt idx="9">
                  <c:v>0.999476497676401</c:v>
                </c:pt>
                <c:pt idx="10">
                  <c:v>0.999502822338683</c:v>
                </c:pt>
                <c:pt idx="11">
                  <c:v>0.999523431684359</c:v>
                </c:pt>
                <c:pt idx="12">
                  <c:v>0.999576482175627</c:v>
                </c:pt>
                <c:pt idx="13">
                  <c:v>0.999609266354561</c:v>
                </c:pt>
                <c:pt idx="14">
                  <c:v>0.999635561767553</c:v>
                </c:pt>
                <c:pt idx="15">
                  <c:v>1.00061721702679</c:v>
                </c:pt>
                <c:pt idx="16">
                  <c:v>1.00069466905688</c:v>
                </c:pt>
                <c:pt idx="17">
                  <c:v>1.00069747708405</c:v>
                </c:pt>
                <c:pt idx="18">
                  <c:v>1.00071514729012</c:v>
                </c:pt>
                <c:pt idx="19">
                  <c:v>1.00071756899181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157800"/>
        <c:axId val="2100160776"/>
      </c:lineChart>
      <c:lineChart>
        <c:grouping val="standard"/>
        <c:varyColors val="0"/>
        <c:ser>
          <c:idx val="1"/>
          <c:order val="1"/>
          <c:val>
            <c:numRef>
              <c:f>TimeConst1!$H$49:$H$68</c:f>
              <c:numCache>
                <c:formatCode>General</c:formatCode>
                <c:ptCount val="20"/>
                <c:pt idx="0">
                  <c:v>-4.42261825460608E-5</c:v>
                </c:pt>
                <c:pt idx="1">
                  <c:v>-5.68084760208729E-5</c:v>
                </c:pt>
                <c:pt idx="2">
                  <c:v>-5.97458541861887E-5</c:v>
                </c:pt>
                <c:pt idx="3">
                  <c:v>-5.58890692699734E-5</c:v>
                </c:pt>
                <c:pt idx="4">
                  <c:v>-4.55390362415578E-5</c:v>
                </c:pt>
                <c:pt idx="5">
                  <c:v>7.05530617058246E-5</c:v>
                </c:pt>
                <c:pt idx="6">
                  <c:v>2.63586578958266E-5</c:v>
                </c:pt>
                <c:pt idx="7">
                  <c:v>6.47797720628829E-5</c:v>
                </c:pt>
                <c:pt idx="8">
                  <c:v>5.44736153820112E-5</c:v>
                </c:pt>
                <c:pt idx="9">
                  <c:v>6.52891603377032E-5</c:v>
                </c:pt>
                <c:pt idx="10">
                  <c:v>0.000548220066754673</c:v>
                </c:pt>
                <c:pt idx="11">
                  <c:v>0.00052805347170418</c:v>
                </c:pt>
                <c:pt idx="12">
                  <c:v>0.00050833158656181</c:v>
                </c:pt>
                <c:pt idx="13">
                  <c:v>0.000529506870955329</c:v>
                </c:pt>
                <c:pt idx="14">
                  <c:v>0.000533878684067922</c:v>
                </c:pt>
                <c:pt idx="15">
                  <c:v>0.00527358402103312</c:v>
                </c:pt>
                <c:pt idx="16">
                  <c:v>0.00485267861738262</c:v>
                </c:pt>
                <c:pt idx="17">
                  <c:v>0.00549286311352937</c:v>
                </c:pt>
                <c:pt idx="18">
                  <c:v>0.00500016172455628</c:v>
                </c:pt>
                <c:pt idx="19">
                  <c:v>0.00470378590974621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167112"/>
        <c:axId val="2100163816"/>
      </c:lineChart>
      <c:catAx>
        <c:axId val="21001578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160776"/>
        <c:crosses val="autoZero"/>
        <c:auto val="1"/>
        <c:lblAlgn val="ctr"/>
        <c:lblOffset val="100"/>
        <c:noMultiLvlLbl val="0"/>
      </c:catAx>
      <c:valAx>
        <c:axId val="2100160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100157800"/>
        <c:crosses val="autoZero"/>
        <c:crossBetween val="between"/>
      </c:valAx>
      <c:valAx>
        <c:axId val="2100163816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crossAx val="2100167112"/>
        <c:crosses val="max"/>
        <c:crossBetween val="between"/>
      </c:valAx>
      <c:catAx>
        <c:axId val="2100167112"/>
        <c:scaling>
          <c:orientation val="minMax"/>
        </c:scaling>
        <c:delete val="1"/>
        <c:axPos val="b"/>
        <c:majorTickMark val="out"/>
        <c:minorTickMark val="none"/>
        <c:tickLblPos val="nextTo"/>
        <c:crossAx val="2100163816"/>
        <c:crosses val="autoZero"/>
        <c:auto val="1"/>
        <c:lblAlgn val="ctr"/>
        <c:lblOffset val="100"/>
        <c:noMultiLvlLbl val="0"/>
      </c:cat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TimeConst2!$D$13:$D$32</c:f>
              <c:numCache>
                <c:formatCode>0.000000000000000000</c:formatCode>
                <c:ptCount val="20"/>
                <c:pt idx="0">
                  <c:v>9.91687451452981E-5</c:v>
                </c:pt>
                <c:pt idx="1">
                  <c:v>9.91766526172652E-5</c:v>
                </c:pt>
                <c:pt idx="2">
                  <c:v>9.91717845880979E-5</c:v>
                </c:pt>
                <c:pt idx="3">
                  <c:v>9.91605183097562E-5</c:v>
                </c:pt>
                <c:pt idx="4">
                  <c:v>9.91588585527997E-5</c:v>
                </c:pt>
                <c:pt idx="5">
                  <c:v>9.91376792394432E-5</c:v>
                </c:pt>
                <c:pt idx="6">
                  <c:v>9.91360015647481E-5</c:v>
                </c:pt>
                <c:pt idx="7">
                  <c:v>9.91396547409375E-5</c:v>
                </c:pt>
                <c:pt idx="8">
                  <c:v>9.91392150923639E-5</c:v>
                </c:pt>
                <c:pt idx="9">
                  <c:v>9.91395049445117E-5</c:v>
                </c:pt>
                <c:pt idx="10">
                  <c:v>9.90830524785615E-5</c:v>
                </c:pt>
                <c:pt idx="11">
                  <c:v>9.90827314901927E-5</c:v>
                </c:pt>
                <c:pt idx="12">
                  <c:v>9.90837046441391E-5</c:v>
                </c:pt>
                <c:pt idx="13">
                  <c:v>9.90831788704753E-5</c:v>
                </c:pt>
                <c:pt idx="14">
                  <c:v>9.90827701676381E-5</c:v>
                </c:pt>
                <c:pt idx="15">
                  <c:v>9.90560929712227E-5</c:v>
                </c:pt>
                <c:pt idx="16">
                  <c:v>9.9055516222863E-5</c:v>
                </c:pt>
                <c:pt idx="17">
                  <c:v>9.9056593342708E-5</c:v>
                </c:pt>
                <c:pt idx="18">
                  <c:v>9.90550534863845E-5</c:v>
                </c:pt>
                <c:pt idx="19">
                  <c:v>9.90552189138676E-5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TimeConst2!$D$49:$D$68</c:f>
              <c:numCache>
                <c:formatCode>0.000000000000000000</c:formatCode>
                <c:ptCount val="20"/>
                <c:pt idx="0">
                  <c:v>9.91282760600051E-5</c:v>
                </c:pt>
                <c:pt idx="1">
                  <c:v>9.91331605219135E-5</c:v>
                </c:pt>
                <c:pt idx="2">
                  <c:v>9.91147880424856E-5</c:v>
                </c:pt>
                <c:pt idx="3">
                  <c:v>9.91238675777871E-5</c:v>
                </c:pt>
                <c:pt idx="4">
                  <c:v>9.91162068646685E-5</c:v>
                </c:pt>
                <c:pt idx="5">
                  <c:v>9.90951197913475E-5</c:v>
                </c:pt>
                <c:pt idx="6">
                  <c:v>9.90945839824619E-5</c:v>
                </c:pt>
                <c:pt idx="7">
                  <c:v>9.90939135451773E-5</c:v>
                </c:pt>
                <c:pt idx="8">
                  <c:v>9.9092860780972E-5</c:v>
                </c:pt>
                <c:pt idx="9">
                  <c:v>9.90936022307088E-5</c:v>
                </c:pt>
                <c:pt idx="10">
                  <c:v>9.90367591934911E-5</c:v>
                </c:pt>
                <c:pt idx="11">
                  <c:v>9.90387520840127E-5</c:v>
                </c:pt>
                <c:pt idx="12">
                  <c:v>9.90364441736991E-5</c:v>
                </c:pt>
                <c:pt idx="13">
                  <c:v>9.9036495178345E-5</c:v>
                </c:pt>
                <c:pt idx="14">
                  <c:v>9.9036699436243E-5</c:v>
                </c:pt>
                <c:pt idx="15">
                  <c:v>9.88693808506874E-5</c:v>
                </c:pt>
                <c:pt idx="16">
                  <c:v>9.88708331532729E-5</c:v>
                </c:pt>
                <c:pt idx="17">
                  <c:v>9.88711071437079E-5</c:v>
                </c:pt>
                <c:pt idx="18">
                  <c:v>9.88697529463005E-5</c:v>
                </c:pt>
                <c:pt idx="19">
                  <c:v>9.88692876460193E-5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416136"/>
        <c:axId val="2098413144"/>
      </c:lineChart>
      <c:catAx>
        <c:axId val="2098416136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413144"/>
        <c:crosses val="autoZero"/>
        <c:auto val="1"/>
        <c:lblAlgn val="ctr"/>
        <c:lblOffset val="100"/>
        <c:noMultiLvlLbl val="0"/>
      </c:catAx>
      <c:valAx>
        <c:axId val="2098413144"/>
        <c:scaling>
          <c:orientation val="minMax"/>
        </c:scaling>
        <c:delete val="0"/>
        <c:axPos val="l"/>
        <c:majorGridlines/>
        <c:numFmt formatCode="0.00000000" sourceLinked="0"/>
        <c:majorTickMark val="out"/>
        <c:minorTickMark val="none"/>
        <c:tickLblPos val="nextTo"/>
        <c:crossAx val="2098416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TimeConst2!$G$49:$G$68</c:f>
              <c:numCache>
                <c:formatCode>0.000000000000000000</c:formatCode>
                <c:ptCount val="20"/>
                <c:pt idx="0">
                  <c:v>0.999635602994907</c:v>
                </c:pt>
                <c:pt idx="1">
                  <c:v>0.999605055111492</c:v>
                </c:pt>
                <c:pt idx="2">
                  <c:v>0.999469448880381</c:v>
                </c:pt>
                <c:pt idx="3">
                  <c:v>0.99967390044468</c:v>
                </c:pt>
                <c:pt idx="4">
                  <c:v>0.999613520124721</c:v>
                </c:pt>
                <c:pt idx="5">
                  <c:v>0.999571632949089</c:v>
                </c:pt>
                <c:pt idx="6">
                  <c:v>0.99958313933988</c:v>
                </c:pt>
                <c:pt idx="7">
                  <c:v>0.99953953926183</c:v>
                </c:pt>
                <c:pt idx="8">
                  <c:v>0.999533354447564</c:v>
                </c:pt>
                <c:pt idx="9">
                  <c:v>0.999537908282878</c:v>
                </c:pt>
                <c:pt idx="10">
                  <c:v>0.999549930398392</c:v>
                </c:pt>
                <c:pt idx="11">
                  <c:v>0.999573261120582</c:v>
                </c:pt>
                <c:pt idx="12">
                  <c:v>0.999540198631304</c:v>
                </c:pt>
                <c:pt idx="13">
                  <c:v>0.999545971636726</c:v>
                </c:pt>
                <c:pt idx="14">
                  <c:v>0.999552185425853</c:v>
                </c:pt>
                <c:pt idx="15">
                  <c:v>0.999591867755052</c:v>
                </c:pt>
                <c:pt idx="16">
                  <c:v>0.999612762359225</c:v>
                </c:pt>
                <c:pt idx="17">
                  <c:v>0.999602049227605</c:v>
                </c:pt>
                <c:pt idx="18">
                  <c:v>0.999605749000084</c:v>
                </c:pt>
                <c:pt idx="19">
                  <c:v>0.999597095198449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89624"/>
        <c:axId val="2098386664"/>
      </c:lineChart>
      <c:catAx>
        <c:axId val="2098389624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386664"/>
        <c:crosses val="autoZero"/>
        <c:auto val="1"/>
        <c:lblAlgn val="ctr"/>
        <c:lblOffset val="100"/>
        <c:noMultiLvlLbl val="0"/>
      </c:catAx>
      <c:valAx>
        <c:axId val="2098386664"/>
        <c:scaling>
          <c:orientation val="minMax"/>
        </c:scaling>
        <c:delete val="0"/>
        <c:axPos val="l"/>
        <c:majorGridlines/>
        <c:numFmt formatCode="0.000000000000000000" sourceLinked="1"/>
        <c:majorTickMark val="out"/>
        <c:minorTickMark val="none"/>
        <c:tickLblPos val="nextTo"/>
        <c:crossAx val="20983896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TimeConst3!$D$13:$D$32</c:f>
              <c:numCache>
                <c:formatCode>0.000000000000000000</c:formatCode>
                <c:ptCount val="20"/>
                <c:pt idx="0">
                  <c:v>8.01434313037521E-5</c:v>
                </c:pt>
                <c:pt idx="1">
                  <c:v>8.01107150923523E-5</c:v>
                </c:pt>
                <c:pt idx="2">
                  <c:v>8.01152424942115E-5</c:v>
                </c:pt>
                <c:pt idx="3">
                  <c:v>8.01251697336988E-5</c:v>
                </c:pt>
                <c:pt idx="4">
                  <c:v>8.01176059353533E-5</c:v>
                </c:pt>
                <c:pt idx="5">
                  <c:v>8.00081500799581E-5</c:v>
                </c:pt>
                <c:pt idx="6">
                  <c:v>8.00078878985302E-5</c:v>
                </c:pt>
                <c:pt idx="7">
                  <c:v>8.00077798395287E-5</c:v>
                </c:pt>
                <c:pt idx="8">
                  <c:v>8.00070653143012E-5</c:v>
                </c:pt>
                <c:pt idx="9">
                  <c:v>8.0007612194976E-5</c:v>
                </c:pt>
                <c:pt idx="10">
                  <c:v>7.98324773907261E-5</c:v>
                </c:pt>
                <c:pt idx="11">
                  <c:v>7.98328560661462E-5</c:v>
                </c:pt>
                <c:pt idx="12">
                  <c:v>7.98326025961244E-5</c:v>
                </c:pt>
                <c:pt idx="13">
                  <c:v>7.98339079800816E-5</c:v>
                </c:pt>
                <c:pt idx="14">
                  <c:v>7.98329797391089E-5</c:v>
                </c:pt>
                <c:pt idx="15">
                  <c:v>7.70356238181263E-5</c:v>
                </c:pt>
                <c:pt idx="16">
                  <c:v>7.70368468080526E-5</c:v>
                </c:pt>
                <c:pt idx="17">
                  <c:v>7.70381637003859E-5</c:v>
                </c:pt>
                <c:pt idx="18">
                  <c:v>7.70380421118512E-5</c:v>
                </c:pt>
                <c:pt idx="19">
                  <c:v>7.70375955094358E-5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41752"/>
        <c:axId val="2098338824"/>
      </c:lineChart>
      <c:catAx>
        <c:axId val="2098341752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338824"/>
        <c:crosses val="autoZero"/>
        <c:auto val="1"/>
        <c:lblAlgn val="ctr"/>
        <c:lblOffset val="100"/>
        <c:noMultiLvlLbl val="0"/>
      </c:catAx>
      <c:valAx>
        <c:axId val="2098338824"/>
        <c:scaling>
          <c:orientation val="minMax"/>
        </c:scaling>
        <c:delete val="0"/>
        <c:axPos val="l"/>
        <c:majorGridlines/>
        <c:numFmt formatCode="0.0000000" sourceLinked="0"/>
        <c:majorTickMark val="out"/>
        <c:minorTickMark val="none"/>
        <c:tickLblPos val="nextTo"/>
        <c:crossAx val="20983417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TimeConst3!$D$49:$D$68</c:f>
              <c:numCache>
                <c:formatCode>0.000000000000000000</c:formatCode>
                <c:ptCount val="20"/>
                <c:pt idx="0">
                  <c:v>8.07793808364927E-5</c:v>
                </c:pt>
                <c:pt idx="1">
                  <c:v>8.07830284412737E-5</c:v>
                </c:pt>
                <c:pt idx="2">
                  <c:v>8.07871022228556E-5</c:v>
                </c:pt>
                <c:pt idx="3">
                  <c:v>8.07777293239844E-5</c:v>
                </c:pt>
                <c:pt idx="4">
                  <c:v>8.0772045858943E-5</c:v>
                </c:pt>
                <c:pt idx="5">
                  <c:v>8.06443905408966E-5</c:v>
                </c:pt>
                <c:pt idx="6">
                  <c:v>8.06445883722191E-5</c:v>
                </c:pt>
                <c:pt idx="7">
                  <c:v>8.06445766299364E-5</c:v>
                </c:pt>
                <c:pt idx="8">
                  <c:v>8.06439430738966E-5</c:v>
                </c:pt>
                <c:pt idx="9">
                  <c:v>8.0642696307898E-5</c:v>
                </c:pt>
                <c:pt idx="10">
                  <c:v>8.0495542012047E-5</c:v>
                </c:pt>
                <c:pt idx="11">
                  <c:v>8.04960324686191E-5</c:v>
                </c:pt>
                <c:pt idx="12">
                  <c:v>8.04956311390921E-5</c:v>
                </c:pt>
                <c:pt idx="13">
                  <c:v>8.04945660531746E-5</c:v>
                </c:pt>
                <c:pt idx="14">
                  <c:v>8.04948960400875E-5</c:v>
                </c:pt>
                <c:pt idx="15">
                  <c:v>8.03302448704842E-5</c:v>
                </c:pt>
                <c:pt idx="16">
                  <c:v>8.03313818781071E-5</c:v>
                </c:pt>
                <c:pt idx="17">
                  <c:v>8.03301495999266E-5</c:v>
                </c:pt>
                <c:pt idx="18">
                  <c:v>8.03327932380454E-5</c:v>
                </c:pt>
                <c:pt idx="19">
                  <c:v>8.03303956794152E-5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313576"/>
        <c:axId val="2098310616"/>
      </c:lineChart>
      <c:catAx>
        <c:axId val="2098313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310616"/>
        <c:crosses val="autoZero"/>
        <c:auto val="1"/>
        <c:lblAlgn val="ctr"/>
        <c:lblOffset val="100"/>
        <c:noMultiLvlLbl val="0"/>
      </c:catAx>
      <c:valAx>
        <c:axId val="2098310616"/>
        <c:scaling>
          <c:orientation val="minMax"/>
        </c:scaling>
        <c:delete val="0"/>
        <c:axPos val="l"/>
        <c:majorGridlines/>
        <c:numFmt formatCode="0.000000000000000000" sourceLinked="1"/>
        <c:majorTickMark val="out"/>
        <c:minorTickMark val="none"/>
        <c:tickLblPos val="nextTo"/>
        <c:crossAx val="2098313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TimeConst3!$G$49:$G$68</c:f>
              <c:numCache>
                <c:formatCode>0.000000000000000000</c:formatCode>
                <c:ptCount val="20"/>
                <c:pt idx="0">
                  <c:v>0.992178150761995</c:v>
                </c:pt>
                <c:pt idx="1">
                  <c:v>0.991731185586744</c:v>
                </c:pt>
                <c:pt idx="2">
                  <c:v>0.991737309104878</c:v>
                </c:pt>
                <c:pt idx="3">
                  <c:v>0.991976648151772</c:v>
                </c:pt>
                <c:pt idx="4">
                  <c:v>0.991948812772765</c:v>
                </c:pt>
                <c:pt idx="5">
                  <c:v>0.992121067054164</c:v>
                </c:pt>
                <c:pt idx="6">
                  <c:v>0.992115359674204</c:v>
                </c:pt>
                <c:pt idx="7">
                  <c:v>0.992114303624668</c:v>
                </c:pt>
                <c:pt idx="8">
                  <c:v>0.992113150990945</c:v>
                </c:pt>
                <c:pt idx="9">
                  <c:v>0.992135331138871</c:v>
                </c:pt>
                <c:pt idx="10">
                  <c:v>0.99213615695162</c:v>
                </c:pt>
                <c:pt idx="11">
                  <c:v>0.99213462678354</c:v>
                </c:pt>
                <c:pt idx="12">
                  <c:v>0.992136350483839</c:v>
                </c:pt>
                <c:pt idx="13">
                  <c:v>0.992165937845558</c:v>
                </c:pt>
                <c:pt idx="14">
                  <c:v>0.99215018011309</c:v>
                </c:pt>
                <c:pt idx="15">
                  <c:v>0.991327006242649</c:v>
                </c:pt>
                <c:pt idx="16">
                  <c:v>0.991331865289893</c:v>
                </c:pt>
                <c:pt idx="17">
                  <c:v>0.991343527908272</c:v>
                </c:pt>
                <c:pt idx="18">
                  <c:v>0.991329261962951</c:v>
                </c:pt>
                <c:pt idx="19">
                  <c:v>0.991335890326383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287288"/>
        <c:axId val="2098284328"/>
      </c:lineChart>
      <c:catAx>
        <c:axId val="2098287288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284328"/>
        <c:crosses val="autoZero"/>
        <c:auto val="1"/>
        <c:lblAlgn val="ctr"/>
        <c:lblOffset val="100"/>
        <c:noMultiLvlLbl val="0"/>
      </c:catAx>
      <c:valAx>
        <c:axId val="2098284328"/>
        <c:scaling>
          <c:orientation val="minMax"/>
        </c:scaling>
        <c:delete val="0"/>
        <c:axPos val="l"/>
        <c:majorGridlines/>
        <c:numFmt formatCode="0.000000000000000000" sourceLinked="1"/>
        <c:majorTickMark val="out"/>
        <c:minorTickMark val="none"/>
        <c:tickLblPos val="nextTo"/>
        <c:crossAx val="20982872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TimeConst4!$D$13:$D$32</c:f>
              <c:numCache>
                <c:formatCode>0.000000000000000000</c:formatCode>
                <c:ptCount val="20"/>
                <c:pt idx="0">
                  <c:v>9.9011660287173E-5</c:v>
                </c:pt>
                <c:pt idx="1">
                  <c:v>9.90218565602017E-5</c:v>
                </c:pt>
                <c:pt idx="2">
                  <c:v>9.90103290061105E-5</c:v>
                </c:pt>
                <c:pt idx="3">
                  <c:v>9.90187576299968E-5</c:v>
                </c:pt>
                <c:pt idx="4">
                  <c:v>9.90151250337995E-5</c:v>
                </c:pt>
                <c:pt idx="5">
                  <c:v>9.90570082469874E-5</c:v>
                </c:pt>
                <c:pt idx="6">
                  <c:v>9.90569398119185E-5</c:v>
                </c:pt>
                <c:pt idx="7">
                  <c:v>9.90570228989713E-5</c:v>
                </c:pt>
                <c:pt idx="8">
                  <c:v>9.90591668107056E-5</c:v>
                </c:pt>
                <c:pt idx="9">
                  <c:v>9.90589279487373E-5</c:v>
                </c:pt>
                <c:pt idx="10">
                  <c:v>9.89947181084121E-5</c:v>
                </c:pt>
                <c:pt idx="11">
                  <c:v>9.89960125017365E-5</c:v>
                </c:pt>
                <c:pt idx="12">
                  <c:v>9.89954821932839E-5</c:v>
                </c:pt>
                <c:pt idx="13">
                  <c:v>9.89966112575105E-5</c:v>
                </c:pt>
                <c:pt idx="14">
                  <c:v>9.89963733908202E-5</c:v>
                </c:pt>
                <c:pt idx="15">
                  <c:v>9.89529307635859E-5</c:v>
                </c:pt>
                <c:pt idx="16">
                  <c:v>9.89538308305365E-5</c:v>
                </c:pt>
                <c:pt idx="17">
                  <c:v>9.89517217984007E-5</c:v>
                </c:pt>
                <c:pt idx="18">
                  <c:v>9.89529665998821E-5</c:v>
                </c:pt>
                <c:pt idx="19">
                  <c:v>9.89531040046004E-5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TimeConst4!$D$49:$D$68</c:f>
              <c:numCache>
                <c:formatCode>0.000000000000000000</c:formatCode>
                <c:ptCount val="20"/>
                <c:pt idx="0">
                  <c:v>9.90328953682936E-5</c:v>
                </c:pt>
                <c:pt idx="1">
                  <c:v>9.90170865191046E-5</c:v>
                </c:pt>
                <c:pt idx="2">
                  <c:v>9.90254529510518E-5</c:v>
                </c:pt>
                <c:pt idx="3">
                  <c:v>9.90262532181583E-5</c:v>
                </c:pt>
                <c:pt idx="4">
                  <c:v>9.90206308183456E-5</c:v>
                </c:pt>
                <c:pt idx="5">
                  <c:v>9.90632511413208E-5</c:v>
                </c:pt>
                <c:pt idx="6">
                  <c:v>9.90620536231282E-5</c:v>
                </c:pt>
                <c:pt idx="7">
                  <c:v>9.90604062644522E-5</c:v>
                </c:pt>
                <c:pt idx="8">
                  <c:v>9.90633335860013E-5</c:v>
                </c:pt>
                <c:pt idx="9">
                  <c:v>9.90640408225329E-5</c:v>
                </c:pt>
                <c:pt idx="10">
                  <c:v>9.89968330117152E-5</c:v>
                </c:pt>
                <c:pt idx="11">
                  <c:v>9.89976005246508E-5</c:v>
                </c:pt>
                <c:pt idx="12">
                  <c:v>9.89955367909007E-5</c:v>
                </c:pt>
                <c:pt idx="13">
                  <c:v>9.89964946342764E-5</c:v>
                </c:pt>
                <c:pt idx="14">
                  <c:v>9.89966151680318E-5</c:v>
                </c:pt>
                <c:pt idx="15">
                  <c:v>9.89581131998925E-5</c:v>
                </c:pt>
                <c:pt idx="16">
                  <c:v>9.89579244543131E-5</c:v>
                </c:pt>
                <c:pt idx="17">
                  <c:v>9.89591591746639E-5</c:v>
                </c:pt>
                <c:pt idx="18">
                  <c:v>9.89591976204689E-5</c:v>
                </c:pt>
                <c:pt idx="19">
                  <c:v>9.89584401657289E-5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241448"/>
        <c:axId val="2098238456"/>
      </c:lineChart>
      <c:catAx>
        <c:axId val="2098241448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238456"/>
        <c:crosses val="autoZero"/>
        <c:auto val="1"/>
        <c:lblAlgn val="ctr"/>
        <c:lblOffset val="100"/>
        <c:noMultiLvlLbl val="0"/>
      </c:catAx>
      <c:valAx>
        <c:axId val="2098238456"/>
        <c:scaling>
          <c:orientation val="minMax"/>
        </c:scaling>
        <c:delete val="0"/>
        <c:axPos val="l"/>
        <c:majorGridlines/>
        <c:numFmt formatCode="0.00000000" sourceLinked="0"/>
        <c:majorTickMark val="out"/>
        <c:minorTickMark val="none"/>
        <c:tickLblPos val="nextTo"/>
        <c:crossAx val="20982414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TimeConst4!$G$49:$G$68</c:f>
              <c:numCache>
                <c:formatCode>General</c:formatCode>
                <c:ptCount val="20"/>
                <c:pt idx="0">
                  <c:v>1.000282088006677</c:v>
                </c:pt>
                <c:pt idx="1">
                  <c:v>1.000020675227607</c:v>
                </c:pt>
                <c:pt idx="2">
                  <c:v>1.000219516904436</c:v>
                </c:pt>
                <c:pt idx="3">
                  <c:v>1.000143423598951</c:v>
                </c:pt>
                <c:pt idx="4">
                  <c:v>1.000121671438166</c:v>
                </c:pt>
                <c:pt idx="5">
                  <c:v>1.000063197728756</c:v>
                </c:pt>
                <c:pt idx="6">
                  <c:v>1.000051795934846</c:v>
                </c:pt>
                <c:pt idx="7">
                  <c:v>1.000034331298986</c:v>
                </c:pt>
                <c:pt idx="8">
                  <c:v>1.000042235752074</c:v>
                </c:pt>
                <c:pt idx="9">
                  <c:v>1.000051786686644</c:v>
                </c:pt>
                <c:pt idx="10">
                  <c:v>1.000022143437501</c:v>
                </c:pt>
                <c:pt idx="11">
                  <c:v>1.000016816389677</c:v>
                </c:pt>
                <c:pt idx="12">
                  <c:v>1.000001322333769</c:v>
                </c:pt>
                <c:pt idx="13">
                  <c:v>0.999999594914247</c:v>
                </c:pt>
                <c:pt idx="14">
                  <c:v>1.00000322255782</c:v>
                </c:pt>
                <c:pt idx="15">
                  <c:v>1.00007612582777</c:v>
                </c:pt>
                <c:pt idx="16">
                  <c:v>1.000064219947904</c:v>
                </c:pt>
                <c:pt idx="17">
                  <c:v>1.000098500515184</c:v>
                </c:pt>
                <c:pt idx="18">
                  <c:v>1.000085988989883</c:v>
                </c:pt>
                <c:pt idx="19">
                  <c:v>1.000076439898184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8214712"/>
        <c:axId val="2098211752"/>
      </c:lineChart>
      <c:catAx>
        <c:axId val="2098214712"/>
        <c:scaling>
          <c:orientation val="minMax"/>
        </c:scaling>
        <c:delete val="0"/>
        <c:axPos val="b"/>
        <c:majorTickMark val="out"/>
        <c:minorTickMark val="none"/>
        <c:tickLblPos val="nextTo"/>
        <c:crossAx val="2098211752"/>
        <c:crosses val="autoZero"/>
        <c:auto val="1"/>
        <c:lblAlgn val="ctr"/>
        <c:lblOffset val="100"/>
        <c:noMultiLvlLbl val="0"/>
      </c:catAx>
      <c:valAx>
        <c:axId val="20982117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2098214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TimeConst5!$D$13:$D$32</c:f>
              <c:numCache>
                <c:formatCode>0.000000000000000000</c:formatCode>
                <c:ptCount val="20"/>
                <c:pt idx="0">
                  <c:v>0.00997864549459729</c:v>
                </c:pt>
                <c:pt idx="1">
                  <c:v>0.00997943681245579</c:v>
                </c:pt>
                <c:pt idx="2">
                  <c:v>0.00997995651541629</c:v>
                </c:pt>
                <c:pt idx="3">
                  <c:v>0.00998029953898683</c:v>
                </c:pt>
                <c:pt idx="4">
                  <c:v>0.00998062591784831</c:v>
                </c:pt>
                <c:pt idx="5">
                  <c:v>0.00997414389518749</c:v>
                </c:pt>
                <c:pt idx="6">
                  <c:v>0.00997426283052211</c:v>
                </c:pt>
                <c:pt idx="7">
                  <c:v>0.00997463736895281</c:v>
                </c:pt>
                <c:pt idx="8">
                  <c:v>0.0099746872956285</c:v>
                </c:pt>
                <c:pt idx="9">
                  <c:v>0.00997461336837883</c:v>
                </c:pt>
                <c:pt idx="10">
                  <c:v>0.00996875570612565</c:v>
                </c:pt>
                <c:pt idx="11">
                  <c:v>0.00996883291122941</c:v>
                </c:pt>
                <c:pt idx="12">
                  <c:v>0.00996934979486438</c:v>
                </c:pt>
                <c:pt idx="13">
                  <c:v>0.0099694095537968</c:v>
                </c:pt>
                <c:pt idx="14">
                  <c:v>0.00996979533528087</c:v>
                </c:pt>
                <c:pt idx="15">
                  <c:v>0.0101569411786067</c:v>
                </c:pt>
                <c:pt idx="16">
                  <c:v>0.0101583236479547</c:v>
                </c:pt>
                <c:pt idx="17">
                  <c:v>0.0101560655533894</c:v>
                </c:pt>
                <c:pt idx="18">
                  <c:v>0.010156119434046</c:v>
                </c:pt>
                <c:pt idx="19">
                  <c:v>0.010154143365902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TimeConst5!$D$49:$D$68</c:f>
              <c:numCache>
                <c:formatCode>0.000000000000000000</c:formatCode>
                <c:ptCount val="20"/>
                <c:pt idx="0">
                  <c:v>0.00998240793928409</c:v>
                </c:pt>
                <c:pt idx="1">
                  <c:v>0.00998245948654246</c:v>
                </c:pt>
                <c:pt idx="2">
                  <c:v>0.00998243058390354</c:v>
                </c:pt>
                <c:pt idx="3">
                  <c:v>0.00998228966668143</c:v>
                </c:pt>
                <c:pt idx="4">
                  <c:v>0.00998235695885919</c:v>
                </c:pt>
                <c:pt idx="5">
                  <c:v>0.00997566598174565</c:v>
                </c:pt>
                <c:pt idx="6">
                  <c:v>0.00997567196445546</c:v>
                </c:pt>
                <c:pt idx="7">
                  <c:v>0.00997564248023718</c:v>
                </c:pt>
                <c:pt idx="8">
                  <c:v>0.00997550077623428</c:v>
                </c:pt>
                <c:pt idx="9">
                  <c:v>0.00997576447011541</c:v>
                </c:pt>
                <c:pt idx="10">
                  <c:v>0.0099696567267051</c:v>
                </c:pt>
                <c:pt idx="11">
                  <c:v>0.00996981986994031</c:v>
                </c:pt>
                <c:pt idx="12">
                  <c:v>0.00996969942821411</c:v>
                </c:pt>
                <c:pt idx="13">
                  <c:v>0.00997001396838249</c:v>
                </c:pt>
                <c:pt idx="14">
                  <c:v>0.00997020503339174</c:v>
                </c:pt>
                <c:pt idx="15">
                  <c:v>0.0101449939458854</c:v>
                </c:pt>
                <c:pt idx="16">
                  <c:v>0.0101455133546183</c:v>
                </c:pt>
                <c:pt idx="17">
                  <c:v>0.0101454968117192</c:v>
                </c:pt>
                <c:pt idx="18">
                  <c:v>0.0101459537695271</c:v>
                </c:pt>
                <c:pt idx="19">
                  <c:v>0.0101480116480883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12408"/>
        <c:axId val="2088515384"/>
      </c:lineChart>
      <c:catAx>
        <c:axId val="2088512408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515384"/>
        <c:crosses val="autoZero"/>
        <c:auto val="1"/>
        <c:lblAlgn val="ctr"/>
        <c:lblOffset val="100"/>
        <c:noMultiLvlLbl val="0"/>
      </c:catAx>
      <c:valAx>
        <c:axId val="2088515384"/>
        <c:scaling>
          <c:orientation val="minMax"/>
        </c:scaling>
        <c:delete val="0"/>
        <c:axPos val="l"/>
        <c:majorGridlines/>
        <c:numFmt formatCode="0.00000" sourceLinked="0"/>
        <c:majorTickMark val="out"/>
        <c:minorTickMark val="none"/>
        <c:tickLblPos val="nextTo"/>
        <c:crossAx val="2088512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TimeConst5!$G$49:$G$68</c:f>
              <c:numCache>
                <c:formatCode>0.000000000000000000</c:formatCode>
                <c:ptCount val="20"/>
                <c:pt idx="0">
                  <c:v>0.999623245968497</c:v>
                </c:pt>
                <c:pt idx="1">
                  <c:v>0.999697351396447</c:v>
                </c:pt>
                <c:pt idx="2">
                  <c:v>0.999752308760881</c:v>
                </c:pt>
                <c:pt idx="3">
                  <c:v>0.999800783147014</c:v>
                </c:pt>
                <c:pt idx="4">
                  <c:v>0.999826740675669</c:v>
                </c:pt>
                <c:pt idx="5">
                  <c:v>0.999848192195676</c:v>
                </c:pt>
                <c:pt idx="6">
                  <c:v>0.999859518702109</c:v>
                </c:pt>
                <c:pt idx="7">
                  <c:v>0.999900013898026</c:v>
                </c:pt>
                <c:pt idx="8">
                  <c:v>0.999919228335404</c:v>
                </c:pt>
                <c:pt idx="9">
                  <c:v>0.999885390556652</c:v>
                </c:pt>
                <c:pt idx="10">
                  <c:v>0.999928093094483</c:v>
                </c:pt>
                <c:pt idx="11">
                  <c:v>0.999919526857311</c:v>
                </c:pt>
                <c:pt idx="12">
                  <c:v>0.999983349390005</c:v>
                </c:pt>
                <c:pt idx="13">
                  <c:v>0.999957997172549</c:v>
                </c:pt>
                <c:pt idx="14">
                  <c:v>0.999977434329629</c:v>
                </c:pt>
                <c:pt idx="15">
                  <c:v>1.002632177243755</c:v>
                </c:pt>
                <c:pt idx="16">
                  <c:v>1.002713550069144</c:v>
                </c:pt>
                <c:pt idx="17">
                  <c:v>1.002515758794844</c:v>
                </c:pt>
                <c:pt idx="18">
                  <c:v>1.002458843142345</c:v>
                </c:pt>
                <c:pt idx="19">
                  <c:v>1.002070261045761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39576"/>
        <c:axId val="2088542488"/>
      </c:lineChart>
      <c:catAx>
        <c:axId val="20885395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542488"/>
        <c:crosses val="autoZero"/>
        <c:auto val="1"/>
        <c:lblAlgn val="ctr"/>
        <c:lblOffset val="100"/>
        <c:noMultiLvlLbl val="0"/>
      </c:catAx>
      <c:valAx>
        <c:axId val="2088542488"/>
        <c:scaling>
          <c:orientation val="minMax"/>
        </c:scaling>
        <c:delete val="0"/>
        <c:axPos val="l"/>
        <c:majorGridlines/>
        <c:numFmt formatCode="0.0000" sourceLinked="0"/>
        <c:majorTickMark val="out"/>
        <c:minorTickMark val="none"/>
        <c:tickLblPos val="nextTo"/>
        <c:crossAx val="2088539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TimeConst6!$D$13:$D$32</c:f>
              <c:numCache>
                <c:formatCode>0.000000000000000000</c:formatCode>
                <c:ptCount val="20"/>
                <c:pt idx="0">
                  <c:v>0.000107982634261586</c:v>
                </c:pt>
                <c:pt idx="1">
                  <c:v>0.000107977195702983</c:v>
                </c:pt>
                <c:pt idx="2">
                  <c:v>0.000107947157024168</c:v>
                </c:pt>
                <c:pt idx="3">
                  <c:v>0.000107919090694511</c:v>
                </c:pt>
                <c:pt idx="4">
                  <c:v>0.000107902886077633</c:v>
                </c:pt>
                <c:pt idx="5">
                  <c:v>0.00010562518919986</c:v>
                </c:pt>
                <c:pt idx="6">
                  <c:v>0.000105623806987335</c:v>
                </c:pt>
                <c:pt idx="7">
                  <c:v>0.000105620781770573</c:v>
                </c:pt>
                <c:pt idx="8">
                  <c:v>0.000105618935637005</c:v>
                </c:pt>
                <c:pt idx="9">
                  <c:v>0.00010561695618675</c:v>
                </c:pt>
                <c:pt idx="10">
                  <c:v>0.000105138703177007</c:v>
                </c:pt>
                <c:pt idx="11">
                  <c:v>0.000105138527521352</c:v>
                </c:pt>
                <c:pt idx="12">
                  <c:v>0.000105138625136231</c:v>
                </c:pt>
                <c:pt idx="13">
                  <c:v>0.000105138285487564</c:v>
                </c:pt>
                <c:pt idx="14">
                  <c:v>0.000105139326407878</c:v>
                </c:pt>
                <c:pt idx="15">
                  <c:v>0.000104961400334083</c:v>
                </c:pt>
                <c:pt idx="16">
                  <c:v>0.000104966145346018</c:v>
                </c:pt>
                <c:pt idx="17">
                  <c:v>0.00010496352657251</c:v>
                </c:pt>
                <c:pt idx="18">
                  <c:v>0.000104971107000201</c:v>
                </c:pt>
                <c:pt idx="19">
                  <c:v>0.000104967205156637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TimeConst6!$D$50:$D$69</c:f>
              <c:numCache>
                <c:formatCode>0.000000000000000000</c:formatCode>
                <c:ptCount val="20"/>
                <c:pt idx="0">
                  <c:v>0.000106395222388944</c:v>
                </c:pt>
                <c:pt idx="1">
                  <c:v>0.000106379435469704</c:v>
                </c:pt>
                <c:pt idx="2">
                  <c:v>0.000106392458786707</c:v>
                </c:pt>
                <c:pt idx="3">
                  <c:v>0.00010638395511773</c:v>
                </c:pt>
                <c:pt idx="4">
                  <c:v>0.000106397303026965</c:v>
                </c:pt>
                <c:pt idx="5">
                  <c:v>0.000104356026164493</c:v>
                </c:pt>
                <c:pt idx="6">
                  <c:v>0.000104355293818016</c:v>
                </c:pt>
                <c:pt idx="7">
                  <c:v>0.000104357278579533</c:v>
                </c:pt>
                <c:pt idx="8">
                  <c:v>0.000104355247717821</c:v>
                </c:pt>
                <c:pt idx="9">
                  <c:v>0.000104352940996654</c:v>
                </c:pt>
                <c:pt idx="10">
                  <c:v>0.000103808637038731</c:v>
                </c:pt>
                <c:pt idx="11">
                  <c:v>0.000103807715607894</c:v>
                </c:pt>
                <c:pt idx="12">
                  <c:v>0.000103812001646543</c:v>
                </c:pt>
                <c:pt idx="13">
                  <c:v>0.000103811522198145</c:v>
                </c:pt>
                <c:pt idx="14">
                  <c:v>0.000103813451794385</c:v>
                </c:pt>
                <c:pt idx="15">
                  <c:v>9.42952578900602E-5</c:v>
                </c:pt>
                <c:pt idx="16">
                  <c:v>9.43020991589812E-5</c:v>
                </c:pt>
                <c:pt idx="17">
                  <c:v>9.43005927659274E-5</c:v>
                </c:pt>
                <c:pt idx="18">
                  <c:v>9.4300116785468E-5</c:v>
                </c:pt>
                <c:pt idx="19">
                  <c:v>9.42970926868184E-5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588376"/>
        <c:axId val="2088591352"/>
      </c:lineChart>
      <c:catAx>
        <c:axId val="20885883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591352"/>
        <c:crosses val="autoZero"/>
        <c:auto val="1"/>
        <c:lblAlgn val="ctr"/>
        <c:lblOffset val="100"/>
        <c:noMultiLvlLbl val="0"/>
      </c:catAx>
      <c:valAx>
        <c:axId val="2088591352"/>
        <c:scaling>
          <c:orientation val="minMax"/>
        </c:scaling>
        <c:delete val="0"/>
        <c:axPos val="l"/>
        <c:majorGridlines/>
        <c:numFmt formatCode="0.0000000" sourceLinked="0"/>
        <c:majorTickMark val="out"/>
        <c:minorTickMark val="none"/>
        <c:tickLblPos val="nextTo"/>
        <c:crossAx val="2088588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TimeConst6!$G$50:$G$69</c:f>
              <c:numCache>
                <c:formatCode>0.000000000000000000</c:formatCode>
                <c:ptCount val="20"/>
                <c:pt idx="0">
                  <c:v>0.98601705543162</c:v>
                </c:pt>
                <c:pt idx="1">
                  <c:v>0.985916347360317</c:v>
                </c:pt>
                <c:pt idx="2">
                  <c:v>0.986299801568875</c:v>
                </c:pt>
                <c:pt idx="3">
                  <c:v>0.986472211914621</c:v>
                </c:pt>
                <c:pt idx="4">
                  <c:v>0.986734982843268</c:v>
                </c:pt>
                <c:pt idx="5">
                  <c:v>0.988120858341339</c:v>
                </c:pt>
                <c:pt idx="6">
                  <c:v>0.988126411201635</c:v>
                </c:pt>
                <c:pt idx="7">
                  <c:v>0.988172867131275</c:v>
                </c:pt>
                <c:pt idx="8">
                  <c:v>0.988170538190477</c:v>
                </c:pt>
                <c:pt idx="9">
                  <c:v>0.988166918265649</c:v>
                </c:pt>
                <c:pt idx="10">
                  <c:v>0.988427300177892</c:v>
                </c:pt>
                <c:pt idx="11">
                  <c:v>0.988420262989411</c:v>
                </c:pt>
                <c:pt idx="12">
                  <c:v>0.988459454082202</c:v>
                </c:pt>
                <c:pt idx="13">
                  <c:v>0.988458055258488</c:v>
                </c:pt>
                <c:pt idx="14">
                  <c:v>0.988466146688395</c:v>
                </c:pt>
                <c:pt idx="15">
                  <c:v>0.984321598196706</c:v>
                </c:pt>
                <c:pt idx="16">
                  <c:v>0.984319621858722</c:v>
                </c:pt>
                <c:pt idx="17">
                  <c:v>0.984303368750106</c:v>
                </c:pt>
                <c:pt idx="18">
                  <c:v>0.984302541894393</c:v>
                </c:pt>
                <c:pt idx="19">
                  <c:v>0.984305159862479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8614808"/>
        <c:axId val="2088617720"/>
      </c:lineChart>
      <c:catAx>
        <c:axId val="2088614808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617720"/>
        <c:crosses val="autoZero"/>
        <c:auto val="1"/>
        <c:lblAlgn val="ctr"/>
        <c:lblOffset val="100"/>
        <c:noMultiLvlLbl val="0"/>
      </c:catAx>
      <c:valAx>
        <c:axId val="2088617720"/>
        <c:scaling>
          <c:orientation val="minMax"/>
        </c:scaling>
        <c:delete val="0"/>
        <c:axPos val="l"/>
        <c:majorGridlines/>
        <c:numFmt formatCode="0.000" sourceLinked="0"/>
        <c:majorTickMark val="out"/>
        <c:minorTickMark val="none"/>
        <c:tickLblPos val="nextTo"/>
        <c:crossAx val="2088614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TimeConst6!$D$55:$D$59</c:f>
              <c:numCache>
                <c:formatCode>0.000000000000000000</c:formatCode>
                <c:ptCount val="5"/>
                <c:pt idx="0">
                  <c:v>0.000104356026164493</c:v>
                </c:pt>
                <c:pt idx="1">
                  <c:v>0.000104355293818016</c:v>
                </c:pt>
                <c:pt idx="2">
                  <c:v>0.000104357278579533</c:v>
                </c:pt>
                <c:pt idx="3">
                  <c:v>0.000104355247717821</c:v>
                </c:pt>
                <c:pt idx="4">
                  <c:v>0.000104352940996654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TimeConst6!$D$91:$D$95</c:f>
              <c:numCache>
                <c:formatCode>0.000000000000000000</c:formatCode>
                <c:ptCount val="5"/>
                <c:pt idx="0">
                  <c:v>0.000104325451672306</c:v>
                </c:pt>
                <c:pt idx="1">
                  <c:v>0.000104327190545545</c:v>
                </c:pt>
                <c:pt idx="2">
                  <c:v>0.000104326291256494</c:v>
                </c:pt>
                <c:pt idx="3">
                  <c:v>0.000104325298313269</c:v>
                </c:pt>
                <c:pt idx="4">
                  <c:v>0.000104325983185476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6878392"/>
        <c:axId val="2086881368"/>
      </c:lineChart>
      <c:catAx>
        <c:axId val="2086878392"/>
        <c:scaling>
          <c:orientation val="minMax"/>
        </c:scaling>
        <c:delete val="0"/>
        <c:axPos val="b"/>
        <c:majorTickMark val="out"/>
        <c:minorTickMark val="none"/>
        <c:tickLblPos val="nextTo"/>
        <c:crossAx val="2086881368"/>
        <c:crosses val="autoZero"/>
        <c:auto val="1"/>
        <c:lblAlgn val="ctr"/>
        <c:lblOffset val="100"/>
        <c:noMultiLvlLbl val="0"/>
      </c:catAx>
      <c:valAx>
        <c:axId val="2086881368"/>
        <c:scaling>
          <c:orientation val="minMax"/>
        </c:scaling>
        <c:delete val="0"/>
        <c:axPos val="l"/>
        <c:majorGridlines/>
        <c:numFmt formatCode="0.00000000" sourceLinked="0"/>
        <c:majorTickMark val="out"/>
        <c:minorTickMark val="none"/>
        <c:tickLblPos val="nextTo"/>
        <c:crossAx val="2086878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TimeConst6!$D$122:$D$141</c:f>
              <c:numCache>
                <c:formatCode>0.000000000000000000</c:formatCode>
                <c:ptCount val="20"/>
                <c:pt idx="0">
                  <c:v>0.00107193355005955</c:v>
                </c:pt>
                <c:pt idx="1">
                  <c:v>0.00107192467651481</c:v>
                </c:pt>
                <c:pt idx="2">
                  <c:v>0.00107193488596778</c:v>
                </c:pt>
                <c:pt idx="3">
                  <c:v>0.00107194266480401</c:v>
                </c:pt>
                <c:pt idx="4">
                  <c:v>0.00107199276988078</c:v>
                </c:pt>
                <c:pt idx="5">
                  <c:v>0.00104957571193128</c:v>
                </c:pt>
                <c:pt idx="6">
                  <c:v>0.00104958048890283</c:v>
                </c:pt>
                <c:pt idx="7">
                  <c:v>0.00104959798000034</c:v>
                </c:pt>
                <c:pt idx="8">
                  <c:v>0.00104959957036903</c:v>
                </c:pt>
                <c:pt idx="9">
                  <c:v>0.00104961221079785</c:v>
                </c:pt>
                <c:pt idx="10">
                  <c:v>0.000937248947127152</c:v>
                </c:pt>
                <c:pt idx="11">
                  <c:v>0.000937256798026884</c:v>
                </c:pt>
                <c:pt idx="12">
                  <c:v>0.000937277759078283</c:v>
                </c:pt>
                <c:pt idx="13">
                  <c:v>0.000937257423395025</c:v>
                </c:pt>
                <c:pt idx="14">
                  <c:v>0.000937247568164289</c:v>
                </c:pt>
                <c:pt idx="15">
                  <c:v>8.55435391072193E-5</c:v>
                </c:pt>
                <c:pt idx="16">
                  <c:v>8.55143598197698E-5</c:v>
                </c:pt>
                <c:pt idx="17">
                  <c:v>8.55569952099436E-5</c:v>
                </c:pt>
                <c:pt idx="18">
                  <c:v>8.55757158038051E-5</c:v>
                </c:pt>
                <c:pt idx="19">
                  <c:v>8.55518368554906E-5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TimeConst6!$D$157:$D$176</c:f>
              <c:numCache>
                <c:formatCode>0.000000000000000000</c:formatCode>
                <c:ptCount val="20"/>
                <c:pt idx="0">
                  <c:v>0.00108525259435615</c:v>
                </c:pt>
                <c:pt idx="1">
                  <c:v>0.00108526172226315</c:v>
                </c:pt>
                <c:pt idx="2">
                  <c:v>0.00108518986749876</c:v>
                </c:pt>
                <c:pt idx="3">
                  <c:v>0.0010852240534859</c:v>
                </c:pt>
                <c:pt idx="4">
                  <c:v>0.00108527205841751</c:v>
                </c:pt>
                <c:pt idx="5">
                  <c:v>0.00106298220387666</c:v>
                </c:pt>
                <c:pt idx="6">
                  <c:v>0.00106298132747149</c:v>
                </c:pt>
                <c:pt idx="7">
                  <c:v>0.00106299914042807</c:v>
                </c:pt>
                <c:pt idx="8">
                  <c:v>0.00106297918238752</c:v>
                </c:pt>
                <c:pt idx="9">
                  <c:v>0.0010629799280565</c:v>
                </c:pt>
                <c:pt idx="10">
                  <c:v>0.00105806790649176</c:v>
                </c:pt>
                <c:pt idx="11">
                  <c:v>0.00105805593656071</c:v>
                </c:pt>
                <c:pt idx="12">
                  <c:v>0.00105805205828263</c:v>
                </c:pt>
                <c:pt idx="13">
                  <c:v>0.00105805909960276</c:v>
                </c:pt>
                <c:pt idx="14">
                  <c:v>0.00105807656842334</c:v>
                </c:pt>
                <c:pt idx="15">
                  <c:v>0.00103925865782221</c:v>
                </c:pt>
                <c:pt idx="16">
                  <c:v>0.00103946847157914</c:v>
                </c:pt>
                <c:pt idx="17">
                  <c:v>0.0010388409616051</c:v>
                </c:pt>
                <c:pt idx="18">
                  <c:v>0.00103905782158426</c:v>
                </c:pt>
                <c:pt idx="19">
                  <c:v>0.00103983597943834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528920"/>
        <c:axId val="2100531896"/>
      </c:lineChart>
      <c:catAx>
        <c:axId val="2100528920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531896"/>
        <c:crosses val="autoZero"/>
        <c:auto val="1"/>
        <c:lblAlgn val="ctr"/>
        <c:lblOffset val="100"/>
        <c:noMultiLvlLbl val="0"/>
      </c:catAx>
      <c:valAx>
        <c:axId val="2100531896"/>
        <c:scaling>
          <c:orientation val="minMax"/>
        </c:scaling>
        <c:delete val="0"/>
        <c:axPos val="l"/>
        <c:majorGridlines/>
        <c:numFmt formatCode="0.0000" sourceLinked="0"/>
        <c:majorTickMark val="out"/>
        <c:minorTickMark val="none"/>
        <c:tickLblPos val="nextTo"/>
        <c:crossAx val="2100528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TimeConst6!$G$157:$G$176</c:f>
              <c:numCache>
                <c:formatCode>0.000000000000000000</c:formatCode>
                <c:ptCount val="20"/>
                <c:pt idx="0">
                  <c:v>0.98901703023534</c:v>
                </c:pt>
                <c:pt idx="1">
                  <c:v>0.989000291484468</c:v>
                </c:pt>
                <c:pt idx="2">
                  <c:v>0.989074686309741</c:v>
                </c:pt>
                <c:pt idx="3">
                  <c:v>0.98905221088624</c:v>
                </c:pt>
                <c:pt idx="4">
                  <c:v>0.989056697621844</c:v>
                </c:pt>
                <c:pt idx="5">
                  <c:v>0.989071395475051</c:v>
                </c:pt>
                <c:pt idx="6">
                  <c:v>0.989076480629937</c:v>
                </c:pt>
                <c:pt idx="7">
                  <c:v>0.989077420177825</c:v>
                </c:pt>
                <c:pt idx="8">
                  <c:v>0.98909854224796</c:v>
                </c:pt>
                <c:pt idx="9">
                  <c:v>0.989109526743392</c:v>
                </c:pt>
                <c:pt idx="10">
                  <c:v>0.981786096145112</c:v>
                </c:pt>
                <c:pt idx="11">
                  <c:v>0.981794763870124</c:v>
                </c:pt>
                <c:pt idx="12">
                  <c:v>0.981822402954343</c:v>
                </c:pt>
                <c:pt idx="13">
                  <c:v>0.981799722523471</c:v>
                </c:pt>
                <c:pt idx="14">
                  <c:v>0.98177283490317</c:v>
                </c:pt>
                <c:pt idx="15">
                  <c:v>0.922749362362012</c:v>
                </c:pt>
                <c:pt idx="16">
                  <c:v>0.922744503936535</c:v>
                </c:pt>
                <c:pt idx="17">
                  <c:v>0.922795682226083</c:v>
                </c:pt>
                <c:pt idx="18">
                  <c:v>0.922844212171752</c:v>
                </c:pt>
                <c:pt idx="19">
                  <c:v>0.922752543949713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0555112"/>
        <c:axId val="2100558056"/>
      </c:lineChart>
      <c:catAx>
        <c:axId val="2100555112"/>
        <c:scaling>
          <c:orientation val="minMax"/>
        </c:scaling>
        <c:delete val="0"/>
        <c:axPos val="b"/>
        <c:majorTickMark val="out"/>
        <c:minorTickMark val="none"/>
        <c:tickLblPos val="nextTo"/>
        <c:crossAx val="2100558056"/>
        <c:crosses val="autoZero"/>
        <c:auto val="1"/>
        <c:lblAlgn val="ctr"/>
        <c:lblOffset val="100"/>
        <c:noMultiLvlLbl val="0"/>
      </c:catAx>
      <c:valAx>
        <c:axId val="2100558056"/>
        <c:scaling>
          <c:orientation val="minMax"/>
        </c:scaling>
        <c:delete val="0"/>
        <c:axPos val="l"/>
        <c:majorGridlines/>
        <c:numFmt formatCode="0.000000000000000000" sourceLinked="1"/>
        <c:majorTickMark val="out"/>
        <c:minorTickMark val="none"/>
        <c:tickLblPos val="nextTo"/>
        <c:crossAx val="2100555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CrossTalk!$C$13:$C$32</c:f>
              <c:numCache>
                <c:formatCode>0.000000000000000000</c:formatCode>
                <c:ptCount val="20"/>
                <c:pt idx="0">
                  <c:v>10.4345770702019</c:v>
                </c:pt>
                <c:pt idx="1">
                  <c:v>11.5286374299599</c:v>
                </c:pt>
                <c:pt idx="2">
                  <c:v>10.9073007819298</c:v>
                </c:pt>
                <c:pt idx="3">
                  <c:v>9.644127940334011</c:v>
                </c:pt>
                <c:pt idx="4">
                  <c:v>11.3541942130251</c:v>
                </c:pt>
                <c:pt idx="5">
                  <c:v>56.6087613403694</c:v>
                </c:pt>
                <c:pt idx="6">
                  <c:v>57.8438929205006</c:v>
                </c:pt>
                <c:pt idx="7">
                  <c:v>58.99309062357</c:v>
                </c:pt>
                <c:pt idx="8">
                  <c:v>56.2884333162488</c:v>
                </c:pt>
                <c:pt idx="9">
                  <c:v>58.2118435982601</c:v>
                </c:pt>
                <c:pt idx="10">
                  <c:v>65.6957975673571</c:v>
                </c:pt>
                <c:pt idx="11">
                  <c:v>67.4109804111445</c:v>
                </c:pt>
                <c:pt idx="12">
                  <c:v>66.8092893952058</c:v>
                </c:pt>
                <c:pt idx="13">
                  <c:v>66.8957170849439</c:v>
                </c:pt>
                <c:pt idx="14">
                  <c:v>66.4899223850265</c:v>
                </c:pt>
                <c:pt idx="15">
                  <c:v>134.322783410155</c:v>
                </c:pt>
                <c:pt idx="16">
                  <c:v>134.185949071481</c:v>
                </c:pt>
                <c:pt idx="17">
                  <c:v>134.806550778577</c:v>
                </c:pt>
                <c:pt idx="18">
                  <c:v>133.725981725449</c:v>
                </c:pt>
                <c:pt idx="19">
                  <c:v>134.702453612465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CrossTalk!$E$13:$E$32</c:f>
              <c:numCache>
                <c:formatCode>0.000000000000000000</c:formatCode>
                <c:ptCount val="20"/>
                <c:pt idx="0">
                  <c:v>9.521251655728401</c:v>
                </c:pt>
                <c:pt idx="1">
                  <c:v>9.67131638885775</c:v>
                </c:pt>
                <c:pt idx="2">
                  <c:v>10.4002906206007</c:v>
                </c:pt>
                <c:pt idx="3">
                  <c:v>9.132771531136671</c:v>
                </c:pt>
                <c:pt idx="4">
                  <c:v>10.0157177498592</c:v>
                </c:pt>
                <c:pt idx="5">
                  <c:v>50.6460409456332</c:v>
                </c:pt>
                <c:pt idx="6">
                  <c:v>51.2721560653422</c:v>
                </c:pt>
                <c:pt idx="7">
                  <c:v>48.9035221917256</c:v>
                </c:pt>
                <c:pt idx="8">
                  <c:v>51.1530708465731</c:v>
                </c:pt>
                <c:pt idx="9">
                  <c:v>51.9426702893207</c:v>
                </c:pt>
                <c:pt idx="10">
                  <c:v>61.7134649691694</c:v>
                </c:pt>
                <c:pt idx="11">
                  <c:v>61.4512801483314</c:v>
                </c:pt>
                <c:pt idx="12">
                  <c:v>61.659926637919</c:v>
                </c:pt>
                <c:pt idx="13">
                  <c:v>62.6609315697161</c:v>
                </c:pt>
                <c:pt idx="14">
                  <c:v>61.8596812170575</c:v>
                </c:pt>
                <c:pt idx="15">
                  <c:v>138.704130567912</c:v>
                </c:pt>
                <c:pt idx="16">
                  <c:v>138.440813555983</c:v>
                </c:pt>
                <c:pt idx="17">
                  <c:v>138.929692980758</c:v>
                </c:pt>
                <c:pt idx="18">
                  <c:v>138.483520119546</c:v>
                </c:pt>
                <c:pt idx="19">
                  <c:v>138.322184050347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3197704"/>
        <c:axId val="2133125864"/>
      </c:lineChart>
      <c:catAx>
        <c:axId val="2133197704"/>
        <c:scaling>
          <c:orientation val="minMax"/>
        </c:scaling>
        <c:delete val="0"/>
        <c:axPos val="b"/>
        <c:majorTickMark val="out"/>
        <c:minorTickMark val="none"/>
        <c:tickLblPos val="nextTo"/>
        <c:crossAx val="2133125864"/>
        <c:crosses val="autoZero"/>
        <c:auto val="1"/>
        <c:lblAlgn val="ctr"/>
        <c:lblOffset val="100"/>
        <c:noMultiLvlLbl val="0"/>
      </c:catAx>
      <c:valAx>
        <c:axId val="2133125864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13319770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CrossTalk!$A$48:$A$67</c:f>
              <c:numCache>
                <c:formatCode>0.000000000000000000</c:formatCode>
                <c:ptCount val="20"/>
                <c:pt idx="0">
                  <c:v>1.19402117059958</c:v>
                </c:pt>
                <c:pt idx="1">
                  <c:v>0.705353381441478</c:v>
                </c:pt>
                <c:pt idx="2">
                  <c:v>0.866600417597492</c:v>
                </c:pt>
                <c:pt idx="3">
                  <c:v>1.17682382405517</c:v>
                </c:pt>
                <c:pt idx="4">
                  <c:v>1.01608357493268</c:v>
                </c:pt>
                <c:pt idx="5">
                  <c:v>0.561711364627147</c:v>
                </c:pt>
                <c:pt idx="6">
                  <c:v>1.53626455317589</c:v>
                </c:pt>
                <c:pt idx="7">
                  <c:v>0.330283604775984</c:v>
                </c:pt>
                <c:pt idx="8">
                  <c:v>1.17964815060909</c:v>
                </c:pt>
                <c:pt idx="9">
                  <c:v>1.47546506802769</c:v>
                </c:pt>
                <c:pt idx="10">
                  <c:v>0.868428359308946</c:v>
                </c:pt>
                <c:pt idx="11">
                  <c:v>0.541219490851463</c:v>
                </c:pt>
                <c:pt idx="12">
                  <c:v>0.297647119881917</c:v>
                </c:pt>
                <c:pt idx="13">
                  <c:v>1.19764168632113</c:v>
                </c:pt>
                <c:pt idx="14">
                  <c:v>0.629889079116476</c:v>
                </c:pt>
                <c:pt idx="15">
                  <c:v>0.568174027759694</c:v>
                </c:pt>
                <c:pt idx="16">
                  <c:v>0.93304064066098</c:v>
                </c:pt>
                <c:pt idx="17">
                  <c:v>0.591483142094481</c:v>
                </c:pt>
                <c:pt idx="18">
                  <c:v>0.687319238503928</c:v>
                </c:pt>
                <c:pt idx="19">
                  <c:v>0.211484512679549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CrossTalk!$C$48:$C$67</c:f>
              <c:numCache>
                <c:formatCode>0.000000000000000000</c:formatCode>
                <c:ptCount val="20"/>
                <c:pt idx="0">
                  <c:v>10.4408868145399</c:v>
                </c:pt>
                <c:pt idx="1">
                  <c:v>10.3806773525773</c:v>
                </c:pt>
                <c:pt idx="2">
                  <c:v>11.2184593040286</c:v>
                </c:pt>
                <c:pt idx="3">
                  <c:v>10.0462265052536</c:v>
                </c:pt>
                <c:pt idx="4">
                  <c:v>9.921524725293089</c:v>
                </c:pt>
                <c:pt idx="5">
                  <c:v>56.7302689596637</c:v>
                </c:pt>
                <c:pt idx="6">
                  <c:v>56.8063879021722</c:v>
                </c:pt>
                <c:pt idx="7">
                  <c:v>55.8005838199697</c:v>
                </c:pt>
                <c:pt idx="8">
                  <c:v>55.87690842278</c:v>
                </c:pt>
                <c:pt idx="9">
                  <c:v>55.9775303752459</c:v>
                </c:pt>
                <c:pt idx="10">
                  <c:v>65.722340007642</c:v>
                </c:pt>
                <c:pt idx="11">
                  <c:v>65.9453667242818</c:v>
                </c:pt>
                <c:pt idx="12">
                  <c:v>64.606368554856</c:v>
                </c:pt>
                <c:pt idx="13">
                  <c:v>65.63342697855759</c:v>
                </c:pt>
                <c:pt idx="14">
                  <c:v>65.1792528010276</c:v>
                </c:pt>
                <c:pt idx="15">
                  <c:v>97.0856135346703</c:v>
                </c:pt>
                <c:pt idx="16">
                  <c:v>98.591087356204</c:v>
                </c:pt>
                <c:pt idx="17">
                  <c:v>96.489485656521</c:v>
                </c:pt>
                <c:pt idx="18">
                  <c:v>98.6928243415071</c:v>
                </c:pt>
                <c:pt idx="19">
                  <c:v>96.81220567362089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CrossTalk!$E$48:$E$67</c:f>
              <c:numCache>
                <c:formatCode>0.000000000000000000</c:formatCode>
                <c:ptCount val="20"/>
                <c:pt idx="0">
                  <c:v>1.81003066227115</c:v>
                </c:pt>
                <c:pt idx="1">
                  <c:v>2.2805189248699</c:v>
                </c:pt>
                <c:pt idx="2">
                  <c:v>0.810452791143262</c:v>
                </c:pt>
                <c:pt idx="3">
                  <c:v>0.847483459703645</c:v>
                </c:pt>
                <c:pt idx="4">
                  <c:v>0.536746096881841</c:v>
                </c:pt>
                <c:pt idx="5">
                  <c:v>4.07538707845677</c:v>
                </c:pt>
                <c:pt idx="6">
                  <c:v>5.50920873493426</c:v>
                </c:pt>
                <c:pt idx="7">
                  <c:v>3.60714557712677</c:v>
                </c:pt>
                <c:pt idx="8">
                  <c:v>2.94441460158816</c:v>
                </c:pt>
                <c:pt idx="9">
                  <c:v>4.48260103588695</c:v>
                </c:pt>
                <c:pt idx="10">
                  <c:v>8.12316013236031</c:v>
                </c:pt>
                <c:pt idx="11">
                  <c:v>8.432029390981571</c:v>
                </c:pt>
                <c:pt idx="12">
                  <c:v>8.0612860620906</c:v>
                </c:pt>
                <c:pt idx="13">
                  <c:v>8.39963763921592</c:v>
                </c:pt>
                <c:pt idx="14">
                  <c:v>8.67314987090206</c:v>
                </c:pt>
                <c:pt idx="15">
                  <c:v>58.35242035868</c:v>
                </c:pt>
                <c:pt idx="16">
                  <c:v>58.583554271156</c:v>
                </c:pt>
                <c:pt idx="17">
                  <c:v>57.7938786768353</c:v>
                </c:pt>
                <c:pt idx="18">
                  <c:v>58.1879532827447</c:v>
                </c:pt>
                <c:pt idx="19">
                  <c:v>57.7872199383522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9635400"/>
        <c:axId val="2119636808"/>
      </c:lineChart>
      <c:catAx>
        <c:axId val="2119635400"/>
        <c:scaling>
          <c:orientation val="minMax"/>
        </c:scaling>
        <c:delete val="0"/>
        <c:axPos val="b"/>
        <c:majorTickMark val="out"/>
        <c:minorTickMark val="none"/>
        <c:tickLblPos val="nextTo"/>
        <c:crossAx val="2119636808"/>
        <c:crosses val="autoZero"/>
        <c:auto val="1"/>
        <c:lblAlgn val="ctr"/>
        <c:lblOffset val="100"/>
        <c:noMultiLvlLbl val="0"/>
      </c:catAx>
      <c:valAx>
        <c:axId val="211963680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11963540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CrossTalk!$C$84:$C$103</c:f>
              <c:numCache>
                <c:formatCode>0.000000000000000000</c:formatCode>
                <c:ptCount val="20"/>
                <c:pt idx="0">
                  <c:v>0.939128815572163</c:v>
                </c:pt>
                <c:pt idx="1">
                  <c:v>0.94329166503166</c:v>
                </c:pt>
                <c:pt idx="2">
                  <c:v>0.710270216066954</c:v>
                </c:pt>
                <c:pt idx="3">
                  <c:v>0.457807326427535</c:v>
                </c:pt>
                <c:pt idx="4">
                  <c:v>0.775357172043138</c:v>
                </c:pt>
                <c:pt idx="5">
                  <c:v>4.04645804609661</c:v>
                </c:pt>
                <c:pt idx="6">
                  <c:v>3.75723766762196</c:v>
                </c:pt>
                <c:pt idx="7">
                  <c:v>3.29889693928104</c:v>
                </c:pt>
                <c:pt idx="8">
                  <c:v>2.40701047997405</c:v>
                </c:pt>
                <c:pt idx="9">
                  <c:v>2.70338908967007</c:v>
                </c:pt>
                <c:pt idx="10">
                  <c:v>5.26574399150722</c:v>
                </c:pt>
                <c:pt idx="11">
                  <c:v>5.80493943033704</c:v>
                </c:pt>
                <c:pt idx="12">
                  <c:v>5.36670002576743</c:v>
                </c:pt>
                <c:pt idx="13">
                  <c:v>3.87553928288582</c:v>
                </c:pt>
                <c:pt idx="14">
                  <c:v>5.76392811760351</c:v>
                </c:pt>
                <c:pt idx="15">
                  <c:v>46.2962387029171</c:v>
                </c:pt>
                <c:pt idx="16">
                  <c:v>47.1682498556241</c:v>
                </c:pt>
                <c:pt idx="17">
                  <c:v>47.2541234591411</c:v>
                </c:pt>
                <c:pt idx="18">
                  <c:v>47.9330811694009</c:v>
                </c:pt>
                <c:pt idx="19">
                  <c:v>47.2585923866196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CrossTalk!$E$84:$E$103</c:f>
              <c:numCache>
                <c:formatCode>0.000000000000000000</c:formatCode>
                <c:ptCount val="20"/>
                <c:pt idx="0">
                  <c:v>7.50582609596038</c:v>
                </c:pt>
                <c:pt idx="1">
                  <c:v>8.56228181811179</c:v>
                </c:pt>
                <c:pt idx="2">
                  <c:v>7.63469460314113</c:v>
                </c:pt>
                <c:pt idx="3">
                  <c:v>8.4014755928266</c:v>
                </c:pt>
                <c:pt idx="4">
                  <c:v>9.3811003510548</c:v>
                </c:pt>
                <c:pt idx="5">
                  <c:v>46.9810788941754</c:v>
                </c:pt>
                <c:pt idx="6">
                  <c:v>45.9191667933197</c:v>
                </c:pt>
                <c:pt idx="7">
                  <c:v>46.0711617270527</c:v>
                </c:pt>
                <c:pt idx="8">
                  <c:v>48.2953618142237</c:v>
                </c:pt>
                <c:pt idx="9">
                  <c:v>48.9511599195057</c:v>
                </c:pt>
                <c:pt idx="10">
                  <c:v>55.4471735186697</c:v>
                </c:pt>
                <c:pt idx="11">
                  <c:v>55.7403423915445</c:v>
                </c:pt>
                <c:pt idx="12">
                  <c:v>56.3693606177319</c:v>
                </c:pt>
                <c:pt idx="13">
                  <c:v>55.670629376513</c:v>
                </c:pt>
                <c:pt idx="14">
                  <c:v>55.0786676822706</c:v>
                </c:pt>
                <c:pt idx="15">
                  <c:v>86.8704259500438</c:v>
                </c:pt>
                <c:pt idx="16">
                  <c:v>86.8210554762272</c:v>
                </c:pt>
                <c:pt idx="17">
                  <c:v>86.3243023141397</c:v>
                </c:pt>
                <c:pt idx="18">
                  <c:v>86.80313716066679</c:v>
                </c:pt>
                <c:pt idx="19">
                  <c:v>87.4766788075577</c:v>
                </c:pt>
              </c:numCache>
            </c:numRef>
          </c:val>
          <c:smooth val="0"/>
        </c:ser>
        <c:ser>
          <c:idx val="2"/>
          <c:order val="2"/>
          <c:val>
            <c:numRef>
              <c:f>CrossTalk!$G$84:$G$103</c:f>
              <c:numCache>
                <c:formatCode>0.000000000000000000</c:formatCode>
                <c:ptCount val="20"/>
                <c:pt idx="0">
                  <c:v>1.44759004967766</c:v>
                </c:pt>
                <c:pt idx="1">
                  <c:v>0.518049950998621</c:v>
                </c:pt>
                <c:pt idx="2">
                  <c:v>0.913836557852027</c:v>
                </c:pt>
                <c:pt idx="3">
                  <c:v>1.4083507293368</c:v>
                </c:pt>
                <c:pt idx="4">
                  <c:v>0.834933325962584</c:v>
                </c:pt>
                <c:pt idx="5">
                  <c:v>0.292812624578913</c:v>
                </c:pt>
                <c:pt idx="6">
                  <c:v>0.86230474307232</c:v>
                </c:pt>
                <c:pt idx="7">
                  <c:v>1.29604899422919</c:v>
                </c:pt>
                <c:pt idx="8">
                  <c:v>2.16067233026039</c:v>
                </c:pt>
                <c:pt idx="9">
                  <c:v>1.47617725004298</c:v>
                </c:pt>
                <c:pt idx="10">
                  <c:v>0.901008491366772</c:v>
                </c:pt>
                <c:pt idx="11">
                  <c:v>0.637839222775702</c:v>
                </c:pt>
                <c:pt idx="12">
                  <c:v>1.11586741079733</c:v>
                </c:pt>
                <c:pt idx="13">
                  <c:v>0.373840092865161</c:v>
                </c:pt>
                <c:pt idx="14">
                  <c:v>0.816896062111928</c:v>
                </c:pt>
                <c:pt idx="15">
                  <c:v>0.265136252533349</c:v>
                </c:pt>
                <c:pt idx="16">
                  <c:v>0.918164557267424</c:v>
                </c:pt>
                <c:pt idx="17">
                  <c:v>1.08474967450625</c:v>
                </c:pt>
                <c:pt idx="18">
                  <c:v>1.30226787249808</c:v>
                </c:pt>
                <c:pt idx="19">
                  <c:v>0.37126260847017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899512"/>
        <c:axId val="2117911448"/>
      </c:lineChart>
      <c:catAx>
        <c:axId val="2117899512"/>
        <c:scaling>
          <c:orientation val="minMax"/>
        </c:scaling>
        <c:delete val="0"/>
        <c:axPos val="b"/>
        <c:majorTickMark val="out"/>
        <c:minorTickMark val="none"/>
        <c:tickLblPos val="nextTo"/>
        <c:crossAx val="2117911448"/>
        <c:crosses val="autoZero"/>
        <c:auto val="1"/>
        <c:lblAlgn val="ctr"/>
        <c:lblOffset val="100"/>
        <c:noMultiLvlLbl val="0"/>
      </c:catAx>
      <c:valAx>
        <c:axId val="211791144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11789951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CrossTalk!$A$13:$A$32</c:f>
              <c:numCache>
                <c:formatCode>0.000000000000000000</c:formatCode>
                <c:ptCount val="20"/>
                <c:pt idx="0">
                  <c:v>4.03731562084194E6</c:v>
                </c:pt>
                <c:pt idx="1">
                  <c:v>4.03730457548562E6</c:v>
                </c:pt>
                <c:pt idx="2">
                  <c:v>4.03731196323904E6</c:v>
                </c:pt>
                <c:pt idx="3">
                  <c:v>4.03731613603542E6</c:v>
                </c:pt>
                <c:pt idx="4">
                  <c:v>4.03731740151123E6</c:v>
                </c:pt>
                <c:pt idx="5">
                  <c:v>4.06184873364937E6</c:v>
                </c:pt>
                <c:pt idx="6">
                  <c:v>4.06185389014368E6</c:v>
                </c:pt>
                <c:pt idx="7">
                  <c:v>4.06183328500697E6</c:v>
                </c:pt>
                <c:pt idx="8">
                  <c:v>4.06184418002735E6</c:v>
                </c:pt>
                <c:pt idx="9">
                  <c:v>4.06183672870332E6</c:v>
                </c:pt>
                <c:pt idx="10">
                  <c:v>4.05821446861345E6</c:v>
                </c:pt>
                <c:pt idx="11">
                  <c:v>4.05821815992332E6</c:v>
                </c:pt>
                <c:pt idx="12">
                  <c:v>4.05822445712963E6</c:v>
                </c:pt>
                <c:pt idx="13">
                  <c:v>4.05822746697622E6</c:v>
                </c:pt>
                <c:pt idx="14">
                  <c:v>4.05823064193562E6</c:v>
                </c:pt>
                <c:pt idx="15">
                  <c:v>3.92101890810467E6</c:v>
                </c:pt>
                <c:pt idx="16">
                  <c:v>3.92101719645982E6</c:v>
                </c:pt>
                <c:pt idx="17">
                  <c:v>3.92103265720811E6</c:v>
                </c:pt>
                <c:pt idx="18">
                  <c:v>3.921054007421E6</c:v>
                </c:pt>
                <c:pt idx="19">
                  <c:v>3.92104124890252E6</c:v>
                </c:pt>
              </c:numCache>
            </c:numRef>
          </c:val>
          <c:smooth val="0"/>
        </c:ser>
        <c:ser>
          <c:idx val="1"/>
          <c:order val="1"/>
          <c:val>
            <c:numRef>
              <c:f>CrossTalk!$G$13:$G$32</c:f>
              <c:numCache>
                <c:formatCode>0.000000000000000000</c:formatCode>
                <c:ptCount val="20"/>
                <c:pt idx="0">
                  <c:v>4.03733685184762E6</c:v>
                </c:pt>
                <c:pt idx="1">
                  <c:v>4.0373281227639E6</c:v>
                </c:pt>
                <c:pt idx="2">
                  <c:v>4.03732526914421E6</c:v>
                </c:pt>
                <c:pt idx="3">
                  <c:v>4.03734639575562E6</c:v>
                </c:pt>
                <c:pt idx="4">
                  <c:v>4.03735063372292E6</c:v>
                </c:pt>
                <c:pt idx="5">
                  <c:v>4.06190717430684E6</c:v>
                </c:pt>
                <c:pt idx="6">
                  <c:v>4.06185952625563E6</c:v>
                </c:pt>
                <c:pt idx="7">
                  <c:v>4.0618893802502E6</c:v>
                </c:pt>
                <c:pt idx="8">
                  <c:v>4.0618977504341E6</c:v>
                </c:pt>
                <c:pt idx="9">
                  <c:v>4.06189460055424E6</c:v>
                </c:pt>
                <c:pt idx="10">
                  <c:v>4.05823955208665E6</c:v>
                </c:pt>
                <c:pt idx="11">
                  <c:v>4.05823145975532E6</c:v>
                </c:pt>
                <c:pt idx="12">
                  <c:v>4.05823883307748E6</c:v>
                </c:pt>
                <c:pt idx="13">
                  <c:v>4.05825998428807E6</c:v>
                </c:pt>
                <c:pt idx="14">
                  <c:v>4.05823629052924E6</c:v>
                </c:pt>
                <c:pt idx="15">
                  <c:v>3.9211173148322E6</c:v>
                </c:pt>
                <c:pt idx="16">
                  <c:v>3.92110362647485E6</c:v>
                </c:pt>
                <c:pt idx="17">
                  <c:v>3.92113181228162E6</c:v>
                </c:pt>
                <c:pt idx="18">
                  <c:v>3.92113011417657E6</c:v>
                </c:pt>
                <c:pt idx="19">
                  <c:v>3.92113514682266E6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17236776"/>
        <c:axId val="2088665384"/>
      </c:lineChart>
      <c:catAx>
        <c:axId val="2117236776"/>
        <c:scaling>
          <c:orientation val="minMax"/>
        </c:scaling>
        <c:delete val="0"/>
        <c:axPos val="b"/>
        <c:majorTickMark val="out"/>
        <c:minorTickMark val="none"/>
        <c:tickLblPos val="nextTo"/>
        <c:crossAx val="2088665384"/>
        <c:crosses val="autoZero"/>
        <c:auto val="1"/>
        <c:lblAlgn val="ctr"/>
        <c:lblOffset val="100"/>
        <c:noMultiLvlLbl val="0"/>
      </c:catAx>
      <c:valAx>
        <c:axId val="2088665384"/>
        <c:scaling>
          <c:orientation val="minMax"/>
        </c:scaling>
        <c:delete val="0"/>
        <c:axPos val="l"/>
        <c:majorGridlines/>
        <c:numFmt formatCode="0.000000000000000000" sourceLinked="1"/>
        <c:majorTickMark val="out"/>
        <c:minorTickMark val="none"/>
        <c:tickLblPos val="nextTo"/>
        <c:crossAx val="21172367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val>
            <c:numRef>
              <c:f>CrossTalk!$M$13:$M$32</c:f>
              <c:numCache>
                <c:formatCode>0.000000000000000000</c:formatCode>
                <c:ptCount val="20"/>
                <c:pt idx="0">
                  <c:v>1.00000525868951</c:v>
                </c:pt>
                <c:pt idx="1">
                  <c:v>1.00000583242149</c:v>
                </c:pt>
                <c:pt idx="2">
                  <c:v>1.00000329572471</c:v>
                </c:pt>
                <c:pt idx="3">
                  <c:v>1.00000749499429</c:v>
                </c:pt>
                <c:pt idx="4">
                  <c:v>1.00000823125058</c:v>
                </c:pt>
                <c:pt idx="5">
                  <c:v>1.00001438769782</c:v>
                </c:pt>
                <c:pt idx="6">
                  <c:v>1.00000138757098</c:v>
                </c:pt>
                <c:pt idx="7">
                  <c:v>1.00001381032626</c:v>
                </c:pt>
                <c:pt idx="8">
                  <c:v>1.00001318869063</c:v>
                </c:pt>
                <c:pt idx="9">
                  <c:v>1.00001424770049</c:v>
                </c:pt>
                <c:pt idx="10">
                  <c:v>1.00000618091233</c:v>
                </c:pt>
                <c:pt idx="11">
                  <c:v>1.00000327721085</c:v>
                </c:pt>
                <c:pt idx="12">
                  <c:v>1.00000354238157</c:v>
                </c:pt>
                <c:pt idx="13">
                  <c:v>1.00000801261667</c:v>
                </c:pt>
                <c:pt idx="14">
                  <c:v>1.00000139185395</c:v>
                </c:pt>
                <c:pt idx="15">
                  <c:v>1.00002508355496</c:v>
                </c:pt>
                <c:pt idx="16">
                  <c:v>1.00002204167571</c:v>
                </c:pt>
                <c:pt idx="17">
                  <c:v>1.00002527573163</c:v>
                </c:pt>
                <c:pt idx="18">
                  <c:v>1.0000194063405</c:v>
                </c:pt>
                <c:pt idx="19">
                  <c:v>1.00002394714301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957128"/>
        <c:axId val="2121240488"/>
      </c:lineChart>
      <c:lineChart>
        <c:grouping val="standard"/>
        <c:varyColors val="0"/>
        <c:ser>
          <c:idx val="1"/>
          <c:order val="1"/>
          <c:val>
            <c:numRef>
              <c:f>CrossTalk!$N$13:$N$32</c:f>
              <c:numCache>
                <c:formatCode>0.000000000000000000</c:formatCode>
                <c:ptCount val="20"/>
                <c:pt idx="0">
                  <c:v>2.84683436947437E-6</c:v>
                </c:pt>
                <c:pt idx="1">
                  <c:v>2.84009597211609E-6</c:v>
                </c:pt>
                <c:pt idx="2">
                  <c:v>4.24355888238409E-6</c:v>
                </c:pt>
                <c:pt idx="3">
                  <c:v>5.39650269809817E-6</c:v>
                </c:pt>
                <c:pt idx="4">
                  <c:v>4.47889983188998E-6</c:v>
                </c:pt>
                <c:pt idx="5">
                  <c:v>-1.60949925733054E-6</c:v>
                </c:pt>
                <c:pt idx="6">
                  <c:v>-8.11318267638614E-7</c:v>
                </c:pt>
                <c:pt idx="7">
                  <c:v>4.17769592324294E-7</c:v>
                </c:pt>
                <c:pt idx="8">
                  <c:v>4.57773125032786E-7</c:v>
                </c:pt>
                <c:pt idx="9">
                  <c:v>2.95605421429861E-6</c:v>
                </c:pt>
                <c:pt idx="10">
                  <c:v>1.61837942269357E-6</c:v>
                </c:pt>
                <c:pt idx="11">
                  <c:v>-9.81316178310771E-6</c:v>
                </c:pt>
                <c:pt idx="12">
                  <c:v>9.10782260409073E-6</c:v>
                </c:pt>
                <c:pt idx="13">
                  <c:v>-1.19712142140858E-5</c:v>
                </c:pt>
                <c:pt idx="14">
                  <c:v>-7.98140713845817E-6</c:v>
                </c:pt>
                <c:pt idx="15">
                  <c:v>-0.000165402464070413</c:v>
                </c:pt>
                <c:pt idx="16">
                  <c:v>4.64258631141393E-5</c:v>
                </c:pt>
                <c:pt idx="17">
                  <c:v>0.000156643514406799</c:v>
                </c:pt>
                <c:pt idx="18">
                  <c:v>8.28170699653751E-5</c:v>
                </c:pt>
                <c:pt idx="19">
                  <c:v>-9.70293006229862E-6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748264"/>
        <c:axId val="2119133608"/>
      </c:lineChart>
      <c:catAx>
        <c:axId val="2130957128"/>
        <c:scaling>
          <c:orientation val="minMax"/>
        </c:scaling>
        <c:delete val="0"/>
        <c:axPos val="b"/>
        <c:majorTickMark val="out"/>
        <c:minorTickMark val="none"/>
        <c:tickLblPos val="nextTo"/>
        <c:crossAx val="2121240488"/>
        <c:crosses val="autoZero"/>
        <c:auto val="1"/>
        <c:lblAlgn val="ctr"/>
        <c:lblOffset val="100"/>
        <c:noMultiLvlLbl val="0"/>
      </c:catAx>
      <c:valAx>
        <c:axId val="2121240488"/>
        <c:scaling>
          <c:orientation val="minMax"/>
        </c:scaling>
        <c:delete val="0"/>
        <c:axPos val="l"/>
        <c:majorGridlines/>
        <c:numFmt formatCode="General" sourceLinked="0"/>
        <c:majorTickMark val="out"/>
        <c:minorTickMark val="none"/>
        <c:tickLblPos val="nextTo"/>
        <c:crossAx val="2130957128"/>
        <c:crosses val="autoZero"/>
        <c:crossBetween val="between"/>
      </c:valAx>
      <c:valAx>
        <c:axId val="2119133608"/>
        <c:scaling>
          <c:orientation val="minMax"/>
        </c:scaling>
        <c:delete val="0"/>
        <c:axPos val="r"/>
        <c:numFmt formatCode="General" sourceLinked="0"/>
        <c:majorTickMark val="out"/>
        <c:minorTickMark val="none"/>
        <c:tickLblPos val="nextTo"/>
        <c:crossAx val="2132748264"/>
        <c:crosses val="max"/>
        <c:crossBetween val="between"/>
      </c:valAx>
      <c:catAx>
        <c:axId val="2132748264"/>
        <c:scaling>
          <c:orientation val="minMax"/>
        </c:scaling>
        <c:delete val="1"/>
        <c:axPos val="b"/>
        <c:majorTickMark val="out"/>
        <c:minorTickMark val="none"/>
        <c:tickLblPos val="nextTo"/>
        <c:crossAx val="2119133608"/>
        <c:auto val="1"/>
        <c:lblAlgn val="ctr"/>
        <c:lblOffset val="100"/>
        <c:noMultiLvlLbl val="0"/>
      </c:cat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Relationship Id="rId2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Relationship Id="rId2" Type="http://schemas.openxmlformats.org/officeDocument/2006/relationships/chart" Target="../charts/chart11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Relationship Id="rId2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Relationship Id="rId2" Type="http://schemas.openxmlformats.org/officeDocument/2006/relationships/chart" Target="../charts/chart15.xml"/><Relationship Id="rId3" Type="http://schemas.openxmlformats.org/officeDocument/2006/relationships/chart" Target="../charts/chart1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Relationship Id="rId2" Type="http://schemas.openxmlformats.org/officeDocument/2006/relationships/chart" Target="../charts/chart1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Relationship Id="rId2" Type="http://schemas.openxmlformats.org/officeDocument/2006/relationships/chart" Target="../charts/chart20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4" Type="http://schemas.openxmlformats.org/officeDocument/2006/relationships/chart" Target="../charts/chart24.xml"/><Relationship Id="rId5" Type="http://schemas.openxmlformats.org/officeDocument/2006/relationships/chart" Target="../charts/chart25.xml"/><Relationship Id="rId1" Type="http://schemas.openxmlformats.org/officeDocument/2006/relationships/chart" Target="../charts/chart21.xml"/><Relationship Id="rId2" Type="http://schemas.openxmlformats.org/officeDocument/2006/relationships/chart" Target="../charts/chart22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8.xml"/><Relationship Id="rId4" Type="http://schemas.openxmlformats.org/officeDocument/2006/relationships/chart" Target="../charts/chart29.xml"/><Relationship Id="rId5" Type="http://schemas.openxmlformats.org/officeDocument/2006/relationships/chart" Target="../charts/chart30.xml"/><Relationship Id="rId1" Type="http://schemas.openxmlformats.org/officeDocument/2006/relationships/chart" Target="../charts/chart26.xml"/><Relationship Id="rId2" Type="http://schemas.openxmlformats.org/officeDocument/2006/relationships/chart" Target="../charts/chart2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139700</xdr:colOff>
      <xdr:row>8</xdr:row>
      <xdr:rowOff>76200</xdr:rowOff>
    </xdr:from>
    <xdr:to>
      <xdr:col>14</xdr:col>
      <xdr:colOff>342900</xdr:colOff>
      <xdr:row>29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152400</xdr:colOff>
      <xdr:row>37</xdr:row>
      <xdr:rowOff>57150</xdr:rowOff>
    </xdr:from>
    <xdr:to>
      <xdr:col>14</xdr:col>
      <xdr:colOff>355600</xdr:colOff>
      <xdr:row>56</xdr:row>
      <xdr:rowOff>114300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330200</xdr:colOff>
      <xdr:row>66</xdr:row>
      <xdr:rowOff>139700</xdr:rowOff>
    </xdr:from>
    <xdr:to>
      <xdr:col>14</xdr:col>
      <xdr:colOff>304800</xdr:colOff>
      <xdr:row>89</xdr:row>
      <xdr:rowOff>95250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482600</xdr:colOff>
      <xdr:row>99</xdr:row>
      <xdr:rowOff>31750</xdr:rowOff>
    </xdr:from>
    <xdr:to>
      <xdr:col>13</xdr:col>
      <xdr:colOff>622300</xdr:colOff>
      <xdr:row>119</xdr:row>
      <xdr:rowOff>76200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927100</xdr:colOff>
      <xdr:row>13</xdr:row>
      <xdr:rowOff>114300</xdr:rowOff>
    </xdr:from>
    <xdr:to>
      <xdr:col>6</xdr:col>
      <xdr:colOff>1371600</xdr:colOff>
      <xdr:row>42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736600</xdr:colOff>
      <xdr:row>62</xdr:row>
      <xdr:rowOff>31750</xdr:rowOff>
    </xdr:from>
    <xdr:to>
      <xdr:col>6</xdr:col>
      <xdr:colOff>1460500</xdr:colOff>
      <xdr:row>87</xdr:row>
      <xdr:rowOff>25400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1689100</xdr:colOff>
      <xdr:row>109</xdr:row>
      <xdr:rowOff>31750</xdr:rowOff>
    </xdr:from>
    <xdr:to>
      <xdr:col>7</xdr:col>
      <xdr:colOff>1371600</xdr:colOff>
      <xdr:row>137</xdr:row>
      <xdr:rowOff>177800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215900</xdr:colOff>
      <xdr:row>4</xdr:row>
      <xdr:rowOff>120650</xdr:rowOff>
    </xdr:from>
    <xdr:to>
      <xdr:col>22</xdr:col>
      <xdr:colOff>368300</xdr:colOff>
      <xdr:row>32</xdr:row>
      <xdr:rowOff>63500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711200</xdr:colOff>
      <xdr:row>30</xdr:row>
      <xdr:rowOff>95250</xdr:rowOff>
    </xdr:from>
    <xdr:to>
      <xdr:col>7</xdr:col>
      <xdr:colOff>635000</xdr:colOff>
      <xdr:row>44</xdr:row>
      <xdr:rowOff>171450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50800</xdr:colOff>
      <xdr:row>9</xdr:row>
      <xdr:rowOff>133350</xdr:rowOff>
    </xdr:from>
    <xdr:to>
      <xdr:col>15</xdr:col>
      <xdr:colOff>304800</xdr:colOff>
      <xdr:row>34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508000</xdr:colOff>
      <xdr:row>36</xdr:row>
      <xdr:rowOff>107950</xdr:rowOff>
    </xdr:from>
    <xdr:to>
      <xdr:col>16</xdr:col>
      <xdr:colOff>622300</xdr:colOff>
      <xdr:row>67</xdr:row>
      <xdr:rowOff>50800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101600</xdr:colOff>
      <xdr:row>5</xdr:row>
      <xdr:rowOff>69850</xdr:rowOff>
    </xdr:from>
    <xdr:to>
      <xdr:col>7</xdr:col>
      <xdr:colOff>1244600</xdr:colOff>
      <xdr:row>32</xdr:row>
      <xdr:rowOff>25400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1879600</xdr:colOff>
      <xdr:row>29</xdr:row>
      <xdr:rowOff>120650</xdr:rowOff>
    </xdr:from>
    <xdr:to>
      <xdr:col>4</xdr:col>
      <xdr:colOff>1879600</xdr:colOff>
      <xdr:row>44</xdr:row>
      <xdr:rowOff>6350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203200</xdr:colOff>
      <xdr:row>4</xdr:row>
      <xdr:rowOff>133350</xdr:rowOff>
    </xdr:from>
    <xdr:to>
      <xdr:col>14</xdr:col>
      <xdr:colOff>25400</xdr:colOff>
      <xdr:row>28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723900</xdr:colOff>
      <xdr:row>34</xdr:row>
      <xdr:rowOff>133350</xdr:rowOff>
    </xdr:from>
    <xdr:to>
      <xdr:col>17</xdr:col>
      <xdr:colOff>114300</xdr:colOff>
      <xdr:row>57</xdr:row>
      <xdr:rowOff>114300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571500</xdr:colOff>
      <xdr:row>29</xdr:row>
      <xdr:rowOff>158750</xdr:rowOff>
    </xdr:from>
    <xdr:to>
      <xdr:col>6</xdr:col>
      <xdr:colOff>12700</xdr:colOff>
      <xdr:row>44</xdr:row>
      <xdr:rowOff>44450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774700</xdr:colOff>
      <xdr:row>2</xdr:row>
      <xdr:rowOff>107950</xdr:rowOff>
    </xdr:from>
    <xdr:to>
      <xdr:col>18</xdr:col>
      <xdr:colOff>609600</xdr:colOff>
      <xdr:row>25</xdr:row>
      <xdr:rowOff>127000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342900</xdr:colOff>
      <xdr:row>41</xdr:row>
      <xdr:rowOff>19050</xdr:rowOff>
    </xdr:from>
    <xdr:to>
      <xdr:col>13</xdr:col>
      <xdr:colOff>787400</xdr:colOff>
      <xdr:row>55</xdr:row>
      <xdr:rowOff>95250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139700</xdr:colOff>
      <xdr:row>4</xdr:row>
      <xdr:rowOff>171450</xdr:rowOff>
    </xdr:from>
    <xdr:to>
      <xdr:col>15</xdr:col>
      <xdr:colOff>266700</xdr:colOff>
      <xdr:row>27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228600</xdr:colOff>
      <xdr:row>38</xdr:row>
      <xdr:rowOff>69850</xdr:rowOff>
    </xdr:from>
    <xdr:to>
      <xdr:col>13</xdr:col>
      <xdr:colOff>673100</xdr:colOff>
      <xdr:row>52</xdr:row>
      <xdr:rowOff>146050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571500</xdr:colOff>
      <xdr:row>3</xdr:row>
      <xdr:rowOff>82550</xdr:rowOff>
    </xdr:from>
    <xdr:to>
      <xdr:col>18</xdr:col>
      <xdr:colOff>558800</xdr:colOff>
      <xdr:row>26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50800</xdr:colOff>
      <xdr:row>37</xdr:row>
      <xdr:rowOff>120650</xdr:rowOff>
    </xdr:from>
    <xdr:to>
      <xdr:col>16</xdr:col>
      <xdr:colOff>152400</xdr:colOff>
      <xdr:row>62</xdr:row>
      <xdr:rowOff>12700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520700</xdr:colOff>
      <xdr:row>70</xdr:row>
      <xdr:rowOff>57150</xdr:rowOff>
    </xdr:from>
    <xdr:to>
      <xdr:col>13</xdr:col>
      <xdr:colOff>139700</xdr:colOff>
      <xdr:row>84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571500</xdr:colOff>
      <xdr:row>114</xdr:row>
      <xdr:rowOff>171450</xdr:rowOff>
    </xdr:from>
    <xdr:to>
      <xdr:col>14</xdr:col>
      <xdr:colOff>342900</xdr:colOff>
      <xdr:row>147</xdr:row>
      <xdr:rowOff>76200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1371600</xdr:colOff>
      <xdr:row>154</xdr:row>
      <xdr:rowOff>31750</xdr:rowOff>
    </xdr:from>
    <xdr:to>
      <xdr:col>12</xdr:col>
      <xdr:colOff>215900</xdr:colOff>
      <xdr:row>168</xdr:row>
      <xdr:rowOff>107950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1079500</xdr:colOff>
      <xdr:row>14</xdr:row>
      <xdr:rowOff>158750</xdr:rowOff>
    </xdr:from>
    <xdr:to>
      <xdr:col>5</xdr:col>
      <xdr:colOff>1181100</xdr:colOff>
      <xdr:row>29</xdr:row>
      <xdr:rowOff>44450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1117600</xdr:colOff>
      <xdr:row>49</xdr:row>
      <xdr:rowOff>107950</xdr:rowOff>
    </xdr:from>
    <xdr:to>
      <xdr:col>5</xdr:col>
      <xdr:colOff>1219200</xdr:colOff>
      <xdr:row>63</xdr:row>
      <xdr:rowOff>184150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1714500</xdr:colOff>
      <xdr:row>80</xdr:row>
      <xdr:rowOff>31750</xdr:rowOff>
    </xdr:from>
    <xdr:to>
      <xdr:col>5</xdr:col>
      <xdr:colOff>1816100</xdr:colOff>
      <xdr:row>94</xdr:row>
      <xdr:rowOff>107950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1701800</xdr:colOff>
      <xdr:row>15</xdr:row>
      <xdr:rowOff>184150</xdr:rowOff>
    </xdr:from>
    <xdr:to>
      <xdr:col>7</xdr:col>
      <xdr:colOff>1803400</xdr:colOff>
      <xdr:row>30</xdr:row>
      <xdr:rowOff>69850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1473200</xdr:colOff>
      <xdr:row>15</xdr:row>
      <xdr:rowOff>57150</xdr:rowOff>
    </xdr:from>
    <xdr:to>
      <xdr:col>11</xdr:col>
      <xdr:colOff>1574800</xdr:colOff>
      <xdr:row>29</xdr:row>
      <xdr:rowOff>133350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7"/>
  <sheetViews>
    <sheetView topLeftCell="A97" workbookViewId="0">
      <selection activeCell="F128" sqref="F128"/>
    </sheetView>
  </sheetViews>
  <sheetFormatPr baseColWidth="10" defaultColWidth="13.1640625" defaultRowHeight="15" x14ac:dyDescent="0"/>
  <cols>
    <col min="5" max="5" width="16.83203125" customWidth="1"/>
  </cols>
  <sheetData>
    <row r="1" spans="1:6">
      <c r="A1" t="s">
        <v>0</v>
      </c>
      <c r="B1" t="s">
        <v>1</v>
      </c>
      <c r="C1" t="s">
        <v>2</v>
      </c>
      <c r="D1" t="s">
        <v>24</v>
      </c>
      <c r="F1" s="1"/>
    </row>
    <row r="2" spans="1:6">
      <c r="A2" t="s">
        <v>3</v>
      </c>
      <c r="B2" t="s">
        <v>4</v>
      </c>
      <c r="C2" t="s">
        <v>2</v>
      </c>
      <c r="D2" t="s">
        <v>25</v>
      </c>
      <c r="F2" s="1"/>
    </row>
    <row r="3" spans="1:6">
      <c r="A3" t="s">
        <v>5</v>
      </c>
      <c r="B3" t="s">
        <v>2</v>
      </c>
      <c r="C3" t="s">
        <v>6</v>
      </c>
      <c r="F3" s="1"/>
    </row>
    <row r="4" spans="1:6">
      <c r="A4" t="s">
        <v>7</v>
      </c>
      <c r="F4" s="1"/>
    </row>
    <row r="5" spans="1:6">
      <c r="B5" t="s">
        <v>8</v>
      </c>
      <c r="C5" t="s">
        <v>9</v>
      </c>
      <c r="F5" s="1"/>
    </row>
    <row r="6" spans="1:6">
      <c r="B6" t="s">
        <v>10</v>
      </c>
      <c r="C6" t="s">
        <v>11</v>
      </c>
    </row>
    <row r="7" spans="1:6">
      <c r="B7" t="s">
        <v>12</v>
      </c>
      <c r="C7" t="s">
        <v>13</v>
      </c>
    </row>
    <row r="8" spans="1:6">
      <c r="B8" t="s">
        <v>14</v>
      </c>
      <c r="C8" t="s">
        <v>27</v>
      </c>
    </row>
    <row r="9" spans="1:6">
      <c r="B9" t="s">
        <v>15</v>
      </c>
      <c r="C9" t="s">
        <v>16</v>
      </c>
    </row>
    <row r="10" spans="1:6">
      <c r="B10" t="s">
        <v>17</v>
      </c>
      <c r="C10" t="s">
        <v>18</v>
      </c>
    </row>
    <row r="11" spans="1:6">
      <c r="A11" t="s">
        <v>19</v>
      </c>
    </row>
    <row r="12" spans="1:6">
      <c r="A12" t="s">
        <v>20</v>
      </c>
      <c r="B12">
        <v>2082336</v>
      </c>
      <c r="C12" t="s">
        <v>21</v>
      </c>
      <c r="D12" t="s">
        <v>22</v>
      </c>
      <c r="E12">
        <v>2162688</v>
      </c>
    </row>
    <row r="13" spans="1:6">
      <c r="A13">
        <v>159.18338600000001</v>
      </c>
      <c r="B13">
        <v>-0.56330119831839398</v>
      </c>
      <c r="C13">
        <v>-1.3890591655353599</v>
      </c>
      <c r="D13">
        <v>1.2855847480892499</v>
      </c>
      <c r="E13">
        <v>-0.37233543878895198</v>
      </c>
    </row>
    <row r="15" spans="1:6">
      <c r="A15">
        <v>159.18338600000001</v>
      </c>
      <c r="B15">
        <v>0.99418122761451799</v>
      </c>
      <c r="C15">
        <v>-2.0877446156997399E-2</v>
      </c>
      <c r="D15">
        <v>0.99418194322823905</v>
      </c>
      <c r="E15">
        <v>-2.0867994804138802E-2</v>
      </c>
    </row>
    <row r="16" spans="1:6">
      <c r="A16">
        <v>159.18338600000001</v>
      </c>
      <c r="B16">
        <v>0.99418029960025001</v>
      </c>
      <c r="C16">
        <v>-2.08652531291811E-2</v>
      </c>
      <c r="D16">
        <v>0.99418344923420698</v>
      </c>
      <c r="E16">
        <v>-2.08634305022132E-2</v>
      </c>
    </row>
    <row r="17" spans="1:5">
      <c r="A17">
        <v>159.18338600000001</v>
      </c>
      <c r="B17">
        <v>0.994183139590886</v>
      </c>
      <c r="C17">
        <v>-2.0861391042134601E-2</v>
      </c>
      <c r="D17">
        <v>0.99418339749355999</v>
      </c>
      <c r="E17">
        <v>-2.0860778243429301E-2</v>
      </c>
    </row>
    <row r="18" spans="1:5">
      <c r="A18">
        <v>159.18338600000001</v>
      </c>
      <c r="B18">
        <v>0.99418424972929897</v>
      </c>
      <c r="C18">
        <v>-2.0860755501111501E-2</v>
      </c>
      <c r="D18">
        <v>0.994181619176007</v>
      </c>
      <c r="E18">
        <v>-2.0860831474126901E-2</v>
      </c>
    </row>
    <row r="19" spans="1:5">
      <c r="A19">
        <v>159.18338600000001</v>
      </c>
      <c r="B19">
        <v>0.99418448456017805</v>
      </c>
      <c r="C19">
        <v>-2.08610123040949E-2</v>
      </c>
      <c r="D19">
        <v>0.99418461047164997</v>
      </c>
      <c r="E19">
        <v>-2.0861250033110401E-2</v>
      </c>
    </row>
    <row r="20" spans="1:5">
      <c r="A20">
        <v>159.18338600000001</v>
      </c>
      <c r="B20">
        <v>0.99418297764358399</v>
      </c>
      <c r="C20">
        <v>-2.0860776284052099E-2</v>
      </c>
      <c r="D20">
        <v>0.99418399977791005</v>
      </c>
      <c r="E20">
        <v>-2.0860774320657499E-2</v>
      </c>
    </row>
    <row r="21" spans="1:5">
      <c r="A21">
        <v>159.18338600000001</v>
      </c>
      <c r="B21">
        <v>0.99418349125651895</v>
      </c>
      <c r="C21">
        <v>-2.0860594419356102E-2</v>
      </c>
      <c r="D21">
        <v>0.99418335169364502</v>
      </c>
      <c r="E21">
        <v>-2.0861345453551901E-2</v>
      </c>
    </row>
    <row r="22" spans="1:5">
      <c r="A22">
        <v>159.18338600000001</v>
      </c>
      <c r="B22">
        <v>0.994187878922692</v>
      </c>
      <c r="C22">
        <v>-2.0860686892213501E-2</v>
      </c>
      <c r="D22">
        <v>0.99418396241401197</v>
      </c>
      <c r="E22">
        <v>-2.08596065659063E-2</v>
      </c>
    </row>
    <row r="23" spans="1:5">
      <c r="A23">
        <v>159.18338600000001</v>
      </c>
      <c r="B23">
        <v>0.99418402138903395</v>
      </c>
      <c r="C23">
        <v>-2.0859911067741901E-2</v>
      </c>
      <c r="D23">
        <v>0.99418639854328905</v>
      </c>
      <c r="E23">
        <v>-2.0860085441268401E-2</v>
      </c>
    </row>
    <row r="24" spans="1:5">
      <c r="A24">
        <v>159.18338600000001</v>
      </c>
      <c r="B24">
        <v>0.99418426622655798</v>
      </c>
      <c r="C24">
        <v>-2.08592968148275E-2</v>
      </c>
      <c r="D24">
        <v>0.99418736293496901</v>
      </c>
      <c r="E24">
        <v>-2.0860153064141199E-2</v>
      </c>
    </row>
    <row r="25" spans="1:5">
      <c r="A25">
        <v>159.18338600000001</v>
      </c>
      <c r="B25">
        <v>0.99418509327799598</v>
      </c>
      <c r="C25">
        <v>-2.0859291985524199E-2</v>
      </c>
      <c r="D25">
        <v>0.99418486172724296</v>
      </c>
      <c r="E25">
        <v>-2.0861641249692101E-2</v>
      </c>
    </row>
    <row r="27" spans="1:5">
      <c r="A27" t="s">
        <v>23</v>
      </c>
      <c r="B27" t="s">
        <v>1</v>
      </c>
      <c r="C27" t="s">
        <v>2</v>
      </c>
      <c r="D27" t="s">
        <v>26</v>
      </c>
    </row>
    <row r="31" spans="1:5">
      <c r="A31" t="s">
        <v>0</v>
      </c>
      <c r="B31" t="s">
        <v>1</v>
      </c>
      <c r="C31" t="s">
        <v>2</v>
      </c>
      <c r="D31" t="s">
        <v>24</v>
      </c>
    </row>
    <row r="32" spans="1:5">
      <c r="A32" t="s">
        <v>3</v>
      </c>
      <c r="B32" t="s">
        <v>4</v>
      </c>
      <c r="C32" t="s">
        <v>2</v>
      </c>
      <c r="D32" t="s">
        <v>25</v>
      </c>
    </row>
    <row r="33" spans="1:5">
      <c r="A33" t="s">
        <v>5</v>
      </c>
      <c r="B33" t="s">
        <v>2</v>
      </c>
      <c r="C33" t="s">
        <v>6</v>
      </c>
    </row>
    <row r="34" spans="1:5">
      <c r="A34" t="s">
        <v>7</v>
      </c>
    </row>
    <row r="35" spans="1:5">
      <c r="B35" t="s">
        <v>8</v>
      </c>
      <c r="C35" t="s">
        <v>9</v>
      </c>
    </row>
    <row r="36" spans="1:5">
      <c r="B36" t="s">
        <v>10</v>
      </c>
      <c r="C36" t="s">
        <v>11</v>
      </c>
    </row>
    <row r="37" spans="1:5">
      <c r="B37" t="s">
        <v>12</v>
      </c>
      <c r="C37" t="s">
        <v>13</v>
      </c>
    </row>
    <row r="38" spans="1:5">
      <c r="B38" t="s">
        <v>14</v>
      </c>
      <c r="C38" t="s">
        <v>28</v>
      </c>
    </row>
    <row r="39" spans="1:5">
      <c r="B39" t="s">
        <v>15</v>
      </c>
      <c r="C39" t="s">
        <v>16</v>
      </c>
    </row>
    <row r="40" spans="1:5">
      <c r="B40" t="s">
        <v>17</v>
      </c>
      <c r="C40" t="s">
        <v>18</v>
      </c>
    </row>
    <row r="41" spans="1:5">
      <c r="A41" t="s">
        <v>19</v>
      </c>
    </row>
    <row r="42" spans="1:5">
      <c r="A42" t="s">
        <v>20</v>
      </c>
      <c r="B42">
        <v>2082336</v>
      </c>
      <c r="C42" t="s">
        <v>21</v>
      </c>
      <c r="D42" t="s">
        <v>22</v>
      </c>
      <c r="E42">
        <v>2447524</v>
      </c>
    </row>
    <row r="43" spans="1:5">
      <c r="A43">
        <v>159.18338600000001</v>
      </c>
      <c r="B43">
        <v>-0.27457693007096401</v>
      </c>
      <c r="C43">
        <v>-3.9645471987355803E-2</v>
      </c>
      <c r="D43">
        <v>-0.33380503276550899</v>
      </c>
      <c r="E43">
        <v>-0.47127468529328798</v>
      </c>
    </row>
    <row r="45" spans="1:5">
      <c r="A45">
        <v>159.18338600000001</v>
      </c>
      <c r="B45">
        <v>0.99430802293389098</v>
      </c>
      <c r="C45">
        <v>-2.0916757781296199E-2</v>
      </c>
      <c r="D45">
        <v>0.99430700138606898</v>
      </c>
      <c r="E45">
        <v>-2.0908519753381601E-2</v>
      </c>
    </row>
    <row r="46" spans="1:5">
      <c r="A46">
        <v>159.18338600000001</v>
      </c>
      <c r="B46">
        <v>0.99430122584279101</v>
      </c>
      <c r="C46">
        <v>-2.0904611897337999E-2</v>
      </c>
      <c r="D46">
        <v>0.99430230152331001</v>
      </c>
      <c r="E46">
        <v>-2.0902631171326898E-2</v>
      </c>
    </row>
    <row r="47" spans="1:5">
      <c r="A47">
        <v>159.18338600000001</v>
      </c>
      <c r="B47">
        <v>0.99430333710137897</v>
      </c>
      <c r="C47">
        <v>-2.0903534959165599E-2</v>
      </c>
      <c r="D47">
        <v>0.99430333213410305</v>
      </c>
      <c r="E47">
        <v>-2.0901451686594099E-2</v>
      </c>
    </row>
    <row r="48" spans="1:5">
      <c r="A48">
        <v>159.18338600000001</v>
      </c>
      <c r="B48">
        <v>0.99430145268117998</v>
      </c>
      <c r="C48">
        <v>-2.0901804136491901E-2</v>
      </c>
      <c r="D48">
        <v>0.99430247209945199</v>
      </c>
      <c r="E48">
        <v>-2.0901352982500999E-2</v>
      </c>
    </row>
    <row r="49" spans="1:5">
      <c r="A49">
        <v>159.18338600000001</v>
      </c>
      <c r="B49">
        <v>0.99430430544718995</v>
      </c>
      <c r="C49">
        <v>-2.09011258319181E-2</v>
      </c>
      <c r="D49">
        <v>0.99430209184252605</v>
      </c>
      <c r="E49">
        <v>-2.09018707196056E-2</v>
      </c>
    </row>
    <row r="50" spans="1:5">
      <c r="A50">
        <v>159.18338600000001</v>
      </c>
      <c r="B50">
        <v>0.99430335908165801</v>
      </c>
      <c r="C50">
        <v>-2.0901449036520602E-2</v>
      </c>
      <c r="D50">
        <v>0.99430178239476497</v>
      </c>
      <c r="E50">
        <v>-2.0900656104588002E-2</v>
      </c>
    </row>
    <row r="51" spans="1:5">
      <c r="A51">
        <v>159.18338600000001</v>
      </c>
      <c r="B51">
        <v>0.99430359142768299</v>
      </c>
      <c r="C51">
        <v>-2.0899410072724299E-2</v>
      </c>
      <c r="D51">
        <v>0.99430493041272505</v>
      </c>
      <c r="E51">
        <v>-2.09010834101966E-2</v>
      </c>
    </row>
    <row r="52" spans="1:5">
      <c r="A52">
        <v>159.18338600000001</v>
      </c>
      <c r="B52">
        <v>0.99430010787966905</v>
      </c>
      <c r="C52">
        <v>-2.0901617498635599E-2</v>
      </c>
      <c r="D52">
        <v>0.99430238198368304</v>
      </c>
      <c r="E52">
        <v>-2.0901589644355501E-2</v>
      </c>
    </row>
    <row r="53" spans="1:5">
      <c r="A53">
        <v>159.18338600000001</v>
      </c>
      <c r="B53">
        <v>0.99430313806512605</v>
      </c>
      <c r="C53">
        <v>-2.0901884931082301E-2</v>
      </c>
      <c r="D53">
        <v>0.99430186767703199</v>
      </c>
      <c r="E53">
        <v>-2.0902155170962802E-2</v>
      </c>
    </row>
    <row r="54" spans="1:5">
      <c r="A54">
        <v>159.18338600000001</v>
      </c>
      <c r="B54">
        <v>0.99430393107261295</v>
      </c>
      <c r="C54">
        <v>-2.09008167701632E-2</v>
      </c>
      <c r="D54">
        <v>0.99430449357208905</v>
      </c>
      <c r="E54">
        <v>-2.0902051335192001E-2</v>
      </c>
    </row>
    <row r="55" spans="1:5">
      <c r="A55">
        <v>159.18338600000001</v>
      </c>
      <c r="B55">
        <v>0.99430245758009395</v>
      </c>
      <c r="C55">
        <v>-2.09016560393427E-2</v>
      </c>
      <c r="D55">
        <v>0.99430255016750002</v>
      </c>
      <c r="E55">
        <v>-2.0901890455358001E-2</v>
      </c>
    </row>
    <row r="57" spans="1:5">
      <c r="A57" t="s">
        <v>23</v>
      </c>
      <c r="B57" t="s">
        <v>1</v>
      </c>
      <c r="C57" t="s">
        <v>2</v>
      </c>
      <c r="D57" t="s">
        <v>26</v>
      </c>
    </row>
    <row r="60" spans="1:5">
      <c r="B60">
        <f>AVERAGE(B45:B55,D45:D55)</f>
        <v>0.99430318792302397</v>
      </c>
      <c r="C60">
        <f>AVERAGE(C45:C55,E45:E55)</f>
        <v>-2.0902723699488208E-2</v>
      </c>
      <c r="D60" t="str">
        <f>COMPLEX(B60,C60)</f>
        <v>0.994303187923024-0.0209027236994882i</v>
      </c>
    </row>
    <row r="63" spans="1:5">
      <c r="B63" t="s">
        <v>29</v>
      </c>
      <c r="C63" t="s">
        <v>30</v>
      </c>
      <c r="D63" t="s">
        <v>31</v>
      </c>
      <c r="E63" t="s">
        <v>32</v>
      </c>
    </row>
    <row r="64" spans="1:5">
      <c r="B64">
        <f>2*PI()*A55</f>
        <v>1000.1787120622968</v>
      </c>
      <c r="C64" s="1">
        <v>14900000</v>
      </c>
      <c r="D64" t="str">
        <f>COMPLEX(0, B64*C64)</f>
        <v>14902662809.7282i</v>
      </c>
      <c r="E64" t="str">
        <f>IMDIV((IMSUB(IMDIV(1,D60),1)),D64)</f>
        <v>1.41810846447028E-12-3.54646087797808E-13i</v>
      </c>
    </row>
    <row r="65" spans="1:6">
      <c r="F65" s="1"/>
    </row>
    <row r="66" spans="1:6">
      <c r="F66" s="1"/>
    </row>
    <row r="67" spans="1:6">
      <c r="F67" s="1"/>
    </row>
    <row r="68" spans="1:6">
      <c r="A68" t="s">
        <v>0</v>
      </c>
      <c r="B68" t="s">
        <v>1</v>
      </c>
      <c r="C68" t="s">
        <v>2</v>
      </c>
      <c r="D68" t="s">
        <v>24</v>
      </c>
      <c r="F68" s="1"/>
    </row>
    <row r="69" spans="1:6">
      <c r="A69" t="s">
        <v>3</v>
      </c>
      <c r="B69" t="s">
        <v>4</v>
      </c>
      <c r="C69" t="s">
        <v>2</v>
      </c>
      <c r="D69" t="s">
        <v>25</v>
      </c>
      <c r="F69" s="1"/>
    </row>
    <row r="70" spans="1:6">
      <c r="A70" t="s">
        <v>5</v>
      </c>
      <c r="B70" t="s">
        <v>2</v>
      </c>
      <c r="C70" t="s">
        <v>6</v>
      </c>
      <c r="F70" s="1"/>
    </row>
    <row r="71" spans="1:6">
      <c r="A71" t="s">
        <v>7</v>
      </c>
      <c r="F71" s="1"/>
    </row>
    <row r="72" spans="1:6">
      <c r="B72" t="s">
        <v>8</v>
      </c>
      <c r="C72" t="s">
        <v>9</v>
      </c>
      <c r="F72" s="1"/>
    </row>
    <row r="73" spans="1:6">
      <c r="B73" t="s">
        <v>10</v>
      </c>
      <c r="C73" t="s">
        <v>11</v>
      </c>
      <c r="F73" s="1"/>
    </row>
    <row r="74" spans="1:6">
      <c r="B74" t="s">
        <v>12</v>
      </c>
      <c r="C74" t="s">
        <v>13</v>
      </c>
      <c r="F74" s="1"/>
    </row>
    <row r="75" spans="1:6">
      <c r="B75" t="s">
        <v>14</v>
      </c>
      <c r="C75" t="s">
        <v>33</v>
      </c>
    </row>
    <row r="76" spans="1:6">
      <c r="B76" t="s">
        <v>15</v>
      </c>
      <c r="C76" t="s">
        <v>16</v>
      </c>
    </row>
    <row r="77" spans="1:6">
      <c r="B77" t="s">
        <v>17</v>
      </c>
      <c r="C77" t="s">
        <v>18</v>
      </c>
    </row>
    <row r="78" spans="1:6">
      <c r="A78" t="s">
        <v>19</v>
      </c>
    </row>
    <row r="79" spans="1:6">
      <c r="A79" t="s">
        <v>20</v>
      </c>
      <c r="B79">
        <v>1582232</v>
      </c>
      <c r="C79" t="s">
        <v>21</v>
      </c>
      <c r="D79" t="s">
        <v>22</v>
      </c>
      <c r="E79">
        <v>1638400</v>
      </c>
    </row>
    <row r="80" spans="1:6">
      <c r="A80">
        <v>159.18338600000001</v>
      </c>
      <c r="B80">
        <v>2.2342025424782901</v>
      </c>
      <c r="C80">
        <v>-1.3026333053525001</v>
      </c>
      <c r="D80">
        <v>0.85026325471855002</v>
      </c>
      <c r="E80">
        <v>-0.64440227919281901</v>
      </c>
    </row>
    <row r="82" spans="1:6">
      <c r="A82">
        <v>1591.630257</v>
      </c>
      <c r="B82">
        <v>0.90187637269787402</v>
      </c>
      <c r="C82">
        <v>-0.28051223336408598</v>
      </c>
      <c r="D82">
        <v>0.90192441771258602</v>
      </c>
      <c r="E82">
        <v>-0.28045642607600901</v>
      </c>
    </row>
    <row r="83" spans="1:6">
      <c r="A83">
        <v>1591.630257</v>
      </c>
      <c r="B83">
        <v>0.90194512727248799</v>
      </c>
      <c r="C83">
        <v>-0.28043156877830999</v>
      </c>
      <c r="D83">
        <v>0.901954995636845</v>
      </c>
      <c r="E83">
        <v>-0.28041775985106598</v>
      </c>
    </row>
    <row r="84" spans="1:6">
      <c r="A84">
        <v>1591.630257</v>
      </c>
      <c r="B84">
        <v>0.90196164819398195</v>
      </c>
      <c r="C84">
        <v>-0.28041175097257698</v>
      </c>
      <c r="D84">
        <v>0.90196538028387796</v>
      </c>
      <c r="E84">
        <v>-0.280408474256784</v>
      </c>
    </row>
    <row r="85" spans="1:6">
      <c r="A85">
        <v>1591.630257</v>
      </c>
      <c r="B85">
        <v>0.901966193401887</v>
      </c>
      <c r="C85">
        <v>-0.28040458609162699</v>
      </c>
      <c r="D85">
        <v>0.90196685445150104</v>
      </c>
      <c r="E85">
        <v>-0.28040417539517298</v>
      </c>
    </row>
    <row r="86" spans="1:6">
      <c r="A86">
        <v>1591.630257</v>
      </c>
      <c r="B86">
        <v>0.90196971377768898</v>
      </c>
      <c r="C86">
        <v>-0.28040243041264101</v>
      </c>
      <c r="D86">
        <v>0.90196987671251205</v>
      </c>
      <c r="E86">
        <v>-0.28040128532655001</v>
      </c>
    </row>
    <row r="87" spans="1:6">
      <c r="A87">
        <v>1591.630257</v>
      </c>
      <c r="B87">
        <v>0.901969356525823</v>
      </c>
      <c r="C87">
        <v>-0.28040030776229802</v>
      </c>
      <c r="D87">
        <v>0.90196707293738898</v>
      </c>
      <c r="E87">
        <v>-0.28040016668747603</v>
      </c>
    </row>
    <row r="88" spans="1:6">
      <c r="A88">
        <v>1591.630257</v>
      </c>
      <c r="B88">
        <v>0.90196870939124796</v>
      </c>
      <c r="C88">
        <v>-0.28039866239450201</v>
      </c>
      <c r="D88">
        <v>0.90196760897675998</v>
      </c>
      <c r="E88">
        <v>-0.28039946869524401</v>
      </c>
    </row>
    <row r="89" spans="1:6">
      <c r="A89">
        <v>1591.630257</v>
      </c>
      <c r="B89">
        <v>0.90196866082945004</v>
      </c>
      <c r="C89">
        <v>-0.28040024379272199</v>
      </c>
      <c r="D89">
        <v>0.90196717978948304</v>
      </c>
      <c r="E89">
        <v>-0.28039750971509902</v>
      </c>
    </row>
    <row r="90" spans="1:6">
      <c r="F90" s="1"/>
    </row>
    <row r="91" spans="1:6">
      <c r="A91" t="s">
        <v>23</v>
      </c>
      <c r="B91" t="s">
        <v>1</v>
      </c>
      <c r="C91" t="s">
        <v>2</v>
      </c>
      <c r="D91" t="s">
        <v>26</v>
      </c>
      <c r="F91" s="1"/>
    </row>
    <row r="92" spans="1:6">
      <c r="F92" s="1"/>
    </row>
    <row r="93" spans="1:6" hidden="1">
      <c r="B93">
        <f>AVERAGE(B86:B89,D86:D89)</f>
        <v>0.9019685223675441</v>
      </c>
      <c r="F93" s="1"/>
    </row>
    <row r="94" spans="1:6">
      <c r="B94">
        <f>AVERAGE(B86:B89,D86:D89)</f>
        <v>0.9019685223675441</v>
      </c>
      <c r="C94">
        <f>AVERAGE(C86:C89,E86:E89)</f>
        <v>-0.28040000934831655</v>
      </c>
      <c r="D94" t="str">
        <f>COMPLEX(B94,C94)</f>
        <v>0.901968522367544-0.280400009348317i</v>
      </c>
      <c r="F94" s="1"/>
    </row>
    <row r="95" spans="1:6">
      <c r="F95" s="1"/>
    </row>
    <row r="96" spans="1:6">
      <c r="B96" t="s">
        <v>29</v>
      </c>
      <c r="C96" t="s">
        <v>30</v>
      </c>
      <c r="D96" t="s">
        <v>31</v>
      </c>
      <c r="E96" t="s">
        <v>34</v>
      </c>
      <c r="F96" s="1" t="s">
        <v>32</v>
      </c>
    </row>
    <row r="97" spans="1:6">
      <c r="B97">
        <f>2*PI()*A89</f>
        <v>10000.507845244869</v>
      </c>
      <c r="C97" s="1">
        <v>14900000</v>
      </c>
      <c r="D97" t="str">
        <f>COMPLEX(0, B97*C97)</f>
        <v>149007566894.149i</v>
      </c>
      <c r="E97" t="str">
        <f>IMSUB(IMDIV(1,D94), 1)</f>
        <v>0.0109812329742101+0.314289401622184i</v>
      </c>
      <c r="F97" s="1" t="str">
        <f>IMDIV(E97,D97)</f>
        <v>2.10921772748257E-12-7.36958075559403E-14i</v>
      </c>
    </row>
    <row r="98" spans="1:6">
      <c r="F98" s="1"/>
    </row>
    <row r="99" spans="1:6">
      <c r="F99" s="1"/>
    </row>
    <row r="102" spans="1:6">
      <c r="A102" t="s">
        <v>0</v>
      </c>
      <c r="B102" t="s">
        <v>1</v>
      </c>
      <c r="C102" t="s">
        <v>2</v>
      </c>
      <c r="D102" t="s">
        <v>24</v>
      </c>
    </row>
    <row r="103" spans="1:6">
      <c r="A103" t="s">
        <v>3</v>
      </c>
      <c r="B103" t="s">
        <v>4</v>
      </c>
      <c r="C103" t="s">
        <v>2</v>
      </c>
      <c r="D103" t="s">
        <v>25</v>
      </c>
    </row>
    <row r="104" spans="1:6">
      <c r="A104" t="s">
        <v>5</v>
      </c>
      <c r="B104" t="s">
        <v>2</v>
      </c>
      <c r="C104" t="s">
        <v>6</v>
      </c>
    </row>
    <row r="105" spans="1:6">
      <c r="A105" t="s">
        <v>7</v>
      </c>
    </row>
    <row r="106" spans="1:6">
      <c r="B106" t="s">
        <v>8</v>
      </c>
      <c r="C106" t="s">
        <v>9</v>
      </c>
    </row>
    <row r="107" spans="1:6">
      <c r="B107" t="s">
        <v>10</v>
      </c>
      <c r="C107" t="s">
        <v>11</v>
      </c>
    </row>
    <row r="108" spans="1:6">
      <c r="B108" t="s">
        <v>12</v>
      </c>
      <c r="C108" t="s">
        <v>13</v>
      </c>
    </row>
    <row r="109" spans="1:6">
      <c r="B109" t="s">
        <v>14</v>
      </c>
      <c r="C109" t="s">
        <v>33</v>
      </c>
    </row>
    <row r="110" spans="1:6">
      <c r="B110" t="s">
        <v>15</v>
      </c>
      <c r="C110" t="s">
        <v>16</v>
      </c>
    </row>
    <row r="111" spans="1:6">
      <c r="B111" t="s">
        <v>17</v>
      </c>
      <c r="C111" t="s">
        <v>18</v>
      </c>
    </row>
    <row r="112" spans="1:6">
      <c r="A112" t="s">
        <v>19</v>
      </c>
    </row>
    <row r="113" spans="1:6">
      <c r="A113" t="s">
        <v>20</v>
      </c>
      <c r="B113">
        <v>1582232</v>
      </c>
      <c r="C113" t="s">
        <v>21</v>
      </c>
      <c r="D113" t="s">
        <v>22</v>
      </c>
      <c r="E113">
        <v>1638400</v>
      </c>
    </row>
    <row r="114" spans="1:6">
      <c r="A114">
        <v>159.18338600000001</v>
      </c>
      <c r="B114">
        <v>-0.95022647438707797</v>
      </c>
      <c r="C114">
        <v>-3.06220049250271</v>
      </c>
      <c r="D114">
        <v>1.6851618259080401</v>
      </c>
      <c r="E114">
        <v>0.25023119996725401</v>
      </c>
    </row>
    <row r="115" spans="1:6">
      <c r="A115">
        <v>1591.630257</v>
      </c>
      <c r="B115">
        <v>0.90186279535511304</v>
      </c>
      <c r="C115">
        <v>-0.28053856799071902</v>
      </c>
      <c r="D115">
        <v>0.90191002175880197</v>
      </c>
      <c r="E115">
        <v>-0.28047578658039901</v>
      </c>
    </row>
    <row r="116" spans="1:6">
      <c r="A116">
        <v>1591.630257</v>
      </c>
      <c r="B116">
        <v>0.90192963392918601</v>
      </c>
      <c r="C116">
        <v>-0.28045030677009702</v>
      </c>
      <c r="D116">
        <v>0.90193962869215905</v>
      </c>
      <c r="E116">
        <v>-0.28043469071949501</v>
      </c>
    </row>
    <row r="117" spans="1:6">
      <c r="A117">
        <v>1591.630257</v>
      </c>
      <c r="B117">
        <v>0.90194588346919802</v>
      </c>
      <c r="C117">
        <v>-0.28042664262657702</v>
      </c>
      <c r="D117">
        <v>0.90194690165206703</v>
      </c>
      <c r="E117">
        <v>-0.28042269536707798</v>
      </c>
    </row>
    <row r="118" spans="1:6">
      <c r="A118">
        <v>1591.630257</v>
      </c>
      <c r="B118">
        <v>0.90194786806699501</v>
      </c>
      <c r="C118">
        <v>-0.280421357843815</v>
      </c>
      <c r="D118">
        <v>0.90195179478285703</v>
      </c>
      <c r="E118">
        <v>-0.28042028895135301</v>
      </c>
    </row>
    <row r="119" spans="1:6">
      <c r="A119">
        <v>1591.630257</v>
      </c>
      <c r="B119">
        <v>0.90195486150994997</v>
      </c>
      <c r="C119">
        <v>-0.28041883648930599</v>
      </c>
      <c r="D119">
        <v>0.901955180352357</v>
      </c>
      <c r="E119">
        <v>-0.28041852199647799</v>
      </c>
    </row>
    <row r="120" spans="1:6">
      <c r="A120">
        <v>1591.630257</v>
      </c>
      <c r="B120">
        <v>0.90195682405385402</v>
      </c>
      <c r="C120">
        <v>-0.28041831699292802</v>
      </c>
      <c r="D120">
        <v>0.90195820893868295</v>
      </c>
      <c r="E120">
        <v>-0.28041691738359598</v>
      </c>
    </row>
    <row r="121" spans="1:6">
      <c r="A121">
        <v>1591.630257</v>
      </c>
      <c r="B121">
        <v>0.90195743766585101</v>
      </c>
      <c r="C121">
        <v>-0.28041741021780697</v>
      </c>
      <c r="D121">
        <v>0.90195526349441502</v>
      </c>
      <c r="E121">
        <v>-0.28041654512263797</v>
      </c>
    </row>
    <row r="122" spans="1:6">
      <c r="A122">
        <v>1591.630257</v>
      </c>
      <c r="B122">
        <v>0.901955088200322</v>
      </c>
      <c r="C122">
        <v>-0.28041598208839602</v>
      </c>
      <c r="D122">
        <v>0.90195449111918502</v>
      </c>
      <c r="E122">
        <v>-0.280413941113133</v>
      </c>
    </row>
    <row r="123" spans="1:6">
      <c r="A123" t="s">
        <v>23</v>
      </c>
      <c r="B123" t="s">
        <v>1</v>
      </c>
      <c r="C123" t="s">
        <v>2</v>
      </c>
      <c r="D123" t="s">
        <v>26</v>
      </c>
    </row>
    <row r="125" spans="1:6">
      <c r="B125">
        <f>AVERAGE(B119:B122,D119:D122)</f>
        <v>0.90195591941682707</v>
      </c>
      <c r="C125">
        <f>AVERAGE(C119:C122,E119:E122)</f>
        <v>-0.28041705892553526</v>
      </c>
      <c r="D125" t="str">
        <f>COMPLEX(B125,C125)</f>
        <v>0.901955919416827-0.280417058925535i</v>
      </c>
    </row>
    <row r="127" spans="1:6">
      <c r="B127" t="s">
        <v>29</v>
      </c>
      <c r="C127" t="s">
        <v>30</v>
      </c>
      <c r="D127" t="s">
        <v>34</v>
      </c>
      <c r="E127" t="s">
        <v>31</v>
      </c>
      <c r="F127" t="s">
        <v>32</v>
      </c>
    </row>
    <row r="128" spans="1:6">
      <c r="B128">
        <f>2*PI()*A122</f>
        <v>10000.507845244869</v>
      </c>
      <c r="C128" s="1">
        <v>14900000</v>
      </c>
      <c r="D128" t="str">
        <f>IMSUB(IMDIV(1,D125),1)</f>
        <v>0.0109820341581599+0.314313152718687i</v>
      </c>
      <c r="E128" t="str">
        <f>COMPLEX(0, B128*C128)</f>
        <v>149007566894.149i</v>
      </c>
      <c r="F128" t="str">
        <f>IMDIV(D128,E128)</f>
        <v>2.10937712271999E-12-7.37011843563706E-14i</v>
      </c>
    </row>
    <row r="132" spans="1:5">
      <c r="A132" t="s">
        <v>0</v>
      </c>
      <c r="B132" t="s">
        <v>1</v>
      </c>
      <c r="C132" t="s">
        <v>2</v>
      </c>
      <c r="D132" t="s">
        <v>24</v>
      </c>
    </row>
    <row r="133" spans="1:5">
      <c r="A133" t="s">
        <v>3</v>
      </c>
      <c r="B133" t="s">
        <v>4</v>
      </c>
      <c r="C133" t="s">
        <v>2</v>
      </c>
      <c r="D133" t="s">
        <v>25</v>
      </c>
    </row>
    <row r="134" spans="1:5">
      <c r="A134" t="s">
        <v>5</v>
      </c>
      <c r="B134" t="s">
        <v>2</v>
      </c>
      <c r="C134" t="s">
        <v>6</v>
      </c>
    </row>
    <row r="135" spans="1:5">
      <c r="A135" t="s">
        <v>7</v>
      </c>
    </row>
    <row r="136" spans="1:5">
      <c r="B136" t="s">
        <v>8</v>
      </c>
      <c r="C136" t="s">
        <v>9</v>
      </c>
    </row>
    <row r="137" spans="1:5">
      <c r="B137" t="s">
        <v>10</v>
      </c>
      <c r="C137" t="s">
        <v>11</v>
      </c>
    </row>
    <row r="138" spans="1:5">
      <c r="B138" t="s">
        <v>12</v>
      </c>
      <c r="C138" t="s">
        <v>13</v>
      </c>
    </row>
    <row r="139" spans="1:5">
      <c r="B139" t="s">
        <v>14</v>
      </c>
      <c r="C139" t="s">
        <v>35</v>
      </c>
    </row>
    <row r="140" spans="1:5">
      <c r="B140" t="s">
        <v>15</v>
      </c>
      <c r="C140" t="s">
        <v>16</v>
      </c>
    </row>
    <row r="141" spans="1:5">
      <c r="B141" t="s">
        <v>17</v>
      </c>
      <c r="C141" t="s">
        <v>18</v>
      </c>
    </row>
    <row r="142" spans="1:5">
      <c r="A142" t="s">
        <v>19</v>
      </c>
    </row>
    <row r="143" spans="1:5">
      <c r="A143" t="s">
        <v>20</v>
      </c>
      <c r="B143">
        <v>1582232</v>
      </c>
      <c r="C143" t="s">
        <v>21</v>
      </c>
      <c r="D143" t="s">
        <v>22</v>
      </c>
      <c r="E143">
        <v>1981711</v>
      </c>
    </row>
    <row r="144" spans="1:5">
      <c r="A144">
        <v>159.18338600000001</v>
      </c>
      <c r="B144">
        <v>4.8028916682048903</v>
      </c>
      <c r="C144">
        <v>0.27178199689711402</v>
      </c>
      <c r="D144">
        <v>1.34542627802107</v>
      </c>
      <c r="E144">
        <v>2.36705301499524</v>
      </c>
    </row>
    <row r="145" spans="1:6">
      <c r="A145">
        <v>1591.630257</v>
      </c>
      <c r="B145">
        <v>0.791452160817399</v>
      </c>
      <c r="C145">
        <v>-0.39124248782387799</v>
      </c>
      <c r="D145">
        <v>0.79150828716392296</v>
      </c>
      <c r="E145">
        <v>-0.391207320762889</v>
      </c>
    </row>
    <row r="146" spans="1:6">
      <c r="A146">
        <v>1591.630257</v>
      </c>
      <c r="B146">
        <v>0.79153303867477798</v>
      </c>
      <c r="C146">
        <v>-0.39119346054926601</v>
      </c>
      <c r="D146">
        <v>0.79154548935153801</v>
      </c>
      <c r="E146">
        <v>-0.39118531015077401</v>
      </c>
    </row>
    <row r="147" spans="1:6">
      <c r="A147">
        <v>1591.630257</v>
      </c>
      <c r="B147">
        <v>0.79155454850217299</v>
      </c>
      <c r="C147">
        <v>-0.39118168009965099</v>
      </c>
      <c r="D147">
        <v>0.791557675091632</v>
      </c>
      <c r="E147">
        <v>-0.39117987611376398</v>
      </c>
    </row>
    <row r="148" spans="1:6">
      <c r="A148">
        <v>1591.630257</v>
      </c>
      <c r="B148">
        <v>0.79156068739431995</v>
      </c>
      <c r="C148">
        <v>-0.391178551652484</v>
      </c>
      <c r="D148">
        <v>0.79155826905162796</v>
      </c>
      <c r="E148">
        <v>-0.39117769509829398</v>
      </c>
    </row>
    <row r="149" spans="1:6">
      <c r="A149">
        <v>1591.630257</v>
      </c>
      <c r="B149">
        <v>0.79156188442342301</v>
      </c>
      <c r="C149">
        <v>-0.39117820117902202</v>
      </c>
      <c r="D149">
        <v>0.791561567343261</v>
      </c>
      <c r="E149">
        <v>-0.39117966701413398</v>
      </c>
    </row>
    <row r="150" spans="1:6">
      <c r="A150">
        <v>1591.630257</v>
      </c>
      <c r="B150">
        <v>0.79156102824894503</v>
      </c>
      <c r="C150">
        <v>-0.39117876351844999</v>
      </c>
      <c r="D150">
        <v>0.79156153667673401</v>
      </c>
      <c r="E150">
        <v>-0.39117848604391098</v>
      </c>
    </row>
    <row r="151" spans="1:6">
      <c r="A151">
        <v>1591.630257</v>
      </c>
      <c r="B151">
        <v>0.79156110344857999</v>
      </c>
      <c r="C151">
        <v>-0.39118107225971999</v>
      </c>
      <c r="D151">
        <v>0.79156313455169303</v>
      </c>
      <c r="E151">
        <v>-0.39118074896389898</v>
      </c>
    </row>
    <row r="152" spans="1:6">
      <c r="A152">
        <v>1591.630257</v>
      </c>
      <c r="B152">
        <v>0.79156480658920503</v>
      </c>
      <c r="C152">
        <v>-0.39117955642648</v>
      </c>
      <c r="D152">
        <v>0.79156269958537295</v>
      </c>
      <c r="E152">
        <v>-0.39118181690948201</v>
      </c>
    </row>
    <row r="153" spans="1:6">
      <c r="A153" t="s">
        <v>23</v>
      </c>
      <c r="B153" t="s">
        <v>1</v>
      </c>
      <c r="C153" t="s">
        <v>2</v>
      </c>
      <c r="D153" t="s">
        <v>26</v>
      </c>
    </row>
    <row r="155" spans="1:6">
      <c r="B155">
        <f>AVERAGE(B149:B152,D149:D152)</f>
        <v>0.79156222010840172</v>
      </c>
      <c r="C155">
        <f>AVERAGE(C149:C152,E149:E152)</f>
        <v>-0.39117978903938722</v>
      </c>
      <c r="D155" t="str">
        <f>COMPLEX(B155,C155)</f>
        <v>0.791562220108402-0.391179789039387i</v>
      </c>
    </row>
    <row r="157" spans="1:6">
      <c r="B157" t="s">
        <v>29</v>
      </c>
      <c r="C157" t="s">
        <v>30</v>
      </c>
      <c r="D157" t="s">
        <v>34</v>
      </c>
      <c r="E157" t="s">
        <v>31</v>
      </c>
      <c r="F157" t="s">
        <v>32</v>
      </c>
    </row>
    <row r="158" spans="1:6">
      <c r="B158">
        <f>2*PI()*A152</f>
        <v>10000.507845244869</v>
      </c>
      <c r="C158" s="1">
        <v>14900000</v>
      </c>
      <c r="D158" t="str">
        <f>IMSUB(IMDIV(1,D155),1)</f>
        <v>0.01535397834348+0.501774775196207i</v>
      </c>
      <c r="E158" t="str">
        <f>COMPLEX(0, B158*C158)</f>
        <v>149007566894.149i</v>
      </c>
      <c r="F158" t="str">
        <f>IMDIV(D158,E158)</f>
        <v>3.36744492682479E-12-1.0304160160126E-13i</v>
      </c>
    </row>
    <row r="161" spans="1:5">
      <c r="A161" t="s">
        <v>0</v>
      </c>
      <c r="B161" t="s">
        <v>1</v>
      </c>
      <c r="C161" t="s">
        <v>2</v>
      </c>
      <c r="D161" t="s">
        <v>24</v>
      </c>
    </row>
    <row r="162" spans="1:5">
      <c r="A162" t="s">
        <v>3</v>
      </c>
      <c r="B162" t="s">
        <v>4</v>
      </c>
      <c r="C162" t="s">
        <v>2</v>
      </c>
      <c r="D162" t="s">
        <v>25</v>
      </c>
    </row>
    <row r="163" spans="1:5">
      <c r="A163" t="s">
        <v>5</v>
      </c>
      <c r="B163" t="s">
        <v>2</v>
      </c>
      <c r="C163" t="s">
        <v>6</v>
      </c>
    </row>
    <row r="164" spans="1:5">
      <c r="A164" t="s">
        <v>7</v>
      </c>
    </row>
    <row r="165" spans="1:5">
      <c r="B165" t="s">
        <v>8</v>
      </c>
      <c r="C165" t="s">
        <v>9</v>
      </c>
    </row>
    <row r="166" spans="1:5">
      <c r="B166" t="s">
        <v>10</v>
      </c>
      <c r="C166" t="s">
        <v>11</v>
      </c>
    </row>
    <row r="167" spans="1:5">
      <c r="B167" t="s">
        <v>12</v>
      </c>
      <c r="C167" t="s">
        <v>13</v>
      </c>
    </row>
    <row r="168" spans="1:5">
      <c r="B168" t="s">
        <v>14</v>
      </c>
      <c r="C168" t="s">
        <v>33</v>
      </c>
    </row>
    <row r="169" spans="1:5">
      <c r="B169" t="s">
        <v>15</v>
      </c>
      <c r="C169" t="s">
        <v>16</v>
      </c>
    </row>
    <row r="170" spans="1:5">
      <c r="B170" t="s">
        <v>17</v>
      </c>
      <c r="C170" t="s">
        <v>18</v>
      </c>
    </row>
    <row r="171" spans="1:5">
      <c r="A171" t="s">
        <v>19</v>
      </c>
    </row>
    <row r="172" spans="1:5">
      <c r="A172" t="s">
        <v>20</v>
      </c>
      <c r="B172">
        <v>1582232</v>
      </c>
      <c r="C172" t="s">
        <v>21</v>
      </c>
      <c r="D172" t="s">
        <v>22</v>
      </c>
      <c r="E172">
        <v>1638400</v>
      </c>
    </row>
    <row r="173" spans="1:5">
      <c r="A173">
        <v>159.18338600000001</v>
      </c>
      <c r="B173">
        <v>1.2527237376890901</v>
      </c>
      <c r="C173">
        <v>1.95286051736854</v>
      </c>
      <c r="D173">
        <v>1.4546353057938399</v>
      </c>
      <c r="E173">
        <v>0.222952129219155</v>
      </c>
    </row>
    <row r="174" spans="1:5">
      <c r="A174">
        <v>1591.630257</v>
      </c>
      <c r="B174">
        <v>0.45166932446661101</v>
      </c>
      <c r="C174">
        <v>-0.48511568388352799</v>
      </c>
      <c r="D174">
        <v>0.45167463075187497</v>
      </c>
      <c r="E174">
        <v>-0.48511687153858402</v>
      </c>
    </row>
    <row r="175" spans="1:5">
      <c r="A175">
        <v>1591.630257</v>
      </c>
      <c r="B175">
        <v>0.45167509332905698</v>
      </c>
      <c r="C175">
        <v>-0.48511608567676501</v>
      </c>
      <c r="D175">
        <v>0.45167698069943601</v>
      </c>
      <c r="E175">
        <v>-0.48511614702044398</v>
      </c>
    </row>
    <row r="176" spans="1:5">
      <c r="A176">
        <v>1591.630257</v>
      </c>
      <c r="B176">
        <v>0.45167911700396102</v>
      </c>
      <c r="C176">
        <v>-0.48511837792595802</v>
      </c>
      <c r="D176">
        <v>0.45167908305818799</v>
      </c>
      <c r="E176">
        <v>-0.48511683303053199</v>
      </c>
    </row>
    <row r="177" spans="1:6">
      <c r="A177">
        <v>1591.630257</v>
      </c>
      <c r="B177">
        <v>0.45167908163581699</v>
      </c>
      <c r="C177">
        <v>-0.48511706966588802</v>
      </c>
      <c r="D177">
        <v>0.45168097295783599</v>
      </c>
      <c r="E177">
        <v>-0.48511774830585502</v>
      </c>
    </row>
    <row r="178" spans="1:6">
      <c r="A178">
        <v>1591.630257</v>
      </c>
      <c r="B178">
        <v>0.45168058956338702</v>
      </c>
      <c r="C178">
        <v>-0.48511940698470801</v>
      </c>
      <c r="D178">
        <v>0.45168117581672201</v>
      </c>
      <c r="E178">
        <v>-0.48511749233188101</v>
      </c>
    </row>
    <row r="179" spans="1:6">
      <c r="A179">
        <v>1591.630257</v>
      </c>
      <c r="B179">
        <v>0.45168304171590101</v>
      </c>
      <c r="C179">
        <v>-0.48511871911348298</v>
      </c>
      <c r="D179">
        <v>0.45168015016438701</v>
      </c>
      <c r="E179">
        <v>-0.48511823061667803</v>
      </c>
    </row>
    <row r="180" spans="1:6">
      <c r="A180">
        <v>1591.630257</v>
      </c>
      <c r="B180">
        <v>0.451684082367587</v>
      </c>
      <c r="C180">
        <v>-0.48511891907537202</v>
      </c>
      <c r="D180">
        <v>0.45168334820116102</v>
      </c>
      <c r="E180">
        <v>-0.485119110700581</v>
      </c>
    </row>
    <row r="181" spans="1:6">
      <c r="A181">
        <v>1591.630257</v>
      </c>
      <c r="B181">
        <v>0.451684032807943</v>
      </c>
      <c r="C181">
        <v>-0.48512023433666002</v>
      </c>
      <c r="D181">
        <v>0.45168565641050601</v>
      </c>
      <c r="E181">
        <v>-0.485120145853145</v>
      </c>
    </row>
    <row r="184" spans="1:6">
      <c r="B184">
        <f>AVERAGE(B178:B181,D178:D181)</f>
        <v>0.45168275963094923</v>
      </c>
      <c r="C184">
        <f>AVERAGE(C178:C181,E178:E181)</f>
        <v>-0.48511903237656351</v>
      </c>
      <c r="D184" t="str">
        <f>COMPLEX(B184,C184)</f>
        <v>0.451682759630949-0.485119032376564i</v>
      </c>
    </row>
    <row r="186" spans="1:6">
      <c r="B186" t="s">
        <v>29</v>
      </c>
      <c r="C186" t="s">
        <v>30</v>
      </c>
      <c r="D186" t="s">
        <v>34</v>
      </c>
      <c r="E186" t="s">
        <v>31</v>
      </c>
      <c r="F186" t="s">
        <v>32</v>
      </c>
    </row>
    <row r="187" spans="1:6">
      <c r="B187">
        <f>2*PI()*A181</f>
        <v>10000.507845244869</v>
      </c>
      <c r="C187" s="1">
        <v>14900000</v>
      </c>
      <c r="D187" t="str">
        <f>IMSUB(IMDIV(1,D184),1)</f>
        <v>0.0280522366140099+1.10415484236378i</v>
      </c>
      <c r="E187" t="str">
        <f>COMPLEX(0, B187*C187)</f>
        <v>149007566894.149i</v>
      </c>
      <c r="F187" t="str">
        <f>IMDIV(D187,E187)</f>
        <v>7.41005886733351E-12-1.88260483670185E-13i</v>
      </c>
    </row>
  </sheetData>
  <sortState ref="B22:B36">
    <sortCondition descending="1" ref="B23"/>
  </sortState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2"/>
  <sheetViews>
    <sheetView topLeftCell="A25" workbookViewId="0">
      <selection activeCell="H62" sqref="H62"/>
    </sheetView>
  </sheetViews>
  <sheetFormatPr baseColWidth="10" defaultColWidth="16.1640625" defaultRowHeight="15" x14ac:dyDescent="0"/>
  <cols>
    <col min="1" max="1" width="25" style="2" bestFit="1" customWidth="1"/>
    <col min="2" max="2" width="27.1640625" style="2" bestFit="1" customWidth="1"/>
    <col min="3" max="3" width="21.6640625" style="2" bestFit="1" customWidth="1"/>
    <col min="4" max="4" width="21" style="2" bestFit="1" customWidth="1"/>
    <col min="5" max="5" width="27.1640625" style="2" bestFit="1" customWidth="1"/>
    <col min="6" max="6" width="21" style="2" bestFit="1" customWidth="1"/>
    <col min="7" max="7" width="21.6640625" style="2" bestFit="1" customWidth="1"/>
    <col min="8" max="16384" width="16.1640625" style="2"/>
  </cols>
  <sheetData>
    <row r="1" spans="1:7">
      <c r="A1" s="2" t="s">
        <v>0</v>
      </c>
      <c r="B1" s="2" t="s">
        <v>1</v>
      </c>
      <c r="C1" s="2" t="s">
        <v>2</v>
      </c>
      <c r="D1" s="2" t="s">
        <v>24</v>
      </c>
    </row>
    <row r="2" spans="1:7">
      <c r="A2" s="2" t="s">
        <v>3</v>
      </c>
      <c r="B2" s="2" t="s">
        <v>4</v>
      </c>
      <c r="C2" s="2" t="s">
        <v>2</v>
      </c>
      <c r="D2" s="2" t="s">
        <v>25</v>
      </c>
    </row>
    <row r="3" spans="1:7">
      <c r="A3" s="2" t="s">
        <v>5</v>
      </c>
      <c r="B3" s="2" t="s">
        <v>2</v>
      </c>
      <c r="C3" s="2" t="s">
        <v>6</v>
      </c>
    </row>
    <row r="4" spans="1:7">
      <c r="A4" s="2" t="s">
        <v>7</v>
      </c>
    </row>
    <row r="5" spans="1:7">
      <c r="B5" s="2" t="s">
        <v>8</v>
      </c>
      <c r="C5" s="2" t="s">
        <v>9</v>
      </c>
      <c r="D5" s="3" t="s">
        <v>37</v>
      </c>
    </row>
    <row r="6" spans="1:7">
      <c r="B6" s="2" t="s">
        <v>10</v>
      </c>
      <c r="C6" s="2" t="s">
        <v>11</v>
      </c>
    </row>
    <row r="7" spans="1:7">
      <c r="B7" s="2" t="s">
        <v>12</v>
      </c>
      <c r="C7" s="2" t="s">
        <v>13</v>
      </c>
    </row>
    <row r="8" spans="1:7">
      <c r="B8" s="2" t="s">
        <v>14</v>
      </c>
      <c r="C8" s="2" t="s">
        <v>36</v>
      </c>
    </row>
    <row r="9" spans="1:7">
      <c r="B9" s="2" t="s">
        <v>15</v>
      </c>
      <c r="C9" s="2" t="s">
        <v>16</v>
      </c>
    </row>
    <row r="10" spans="1:7">
      <c r="B10" s="2" t="s">
        <v>17</v>
      </c>
      <c r="C10" s="2" t="s">
        <v>18</v>
      </c>
    </row>
    <row r="11" spans="1:7">
      <c r="A11" s="2" t="s">
        <v>19</v>
      </c>
    </row>
    <row r="12" spans="1:7">
      <c r="A12" s="2" t="s">
        <v>20</v>
      </c>
      <c r="B12" s="2">
        <v>5356800</v>
      </c>
      <c r="C12" s="2" t="s">
        <v>21</v>
      </c>
      <c r="D12" s="2" t="s">
        <v>22</v>
      </c>
      <c r="E12" s="2">
        <v>5446002</v>
      </c>
    </row>
    <row r="13" spans="1:7">
      <c r="A13" s="2">
        <v>15.918279</v>
      </c>
      <c r="B13" s="2">
        <v>0.99992670051968202</v>
      </c>
      <c r="C13" s="2">
        <v>3.7327495065192601E-6</v>
      </c>
      <c r="D13" s="2">
        <v>0.99992410244587904</v>
      </c>
      <c r="E13" s="2">
        <v>2.55666098256645E-6</v>
      </c>
      <c r="F13" s="2">
        <v>0.99992242876764403</v>
      </c>
      <c r="G13" s="2">
        <v>1.9708807025765399E-6</v>
      </c>
    </row>
    <row r="14" spans="1:7">
      <c r="A14" s="2">
        <v>15.918279</v>
      </c>
      <c r="B14" s="2">
        <v>0.99992181405257796</v>
      </c>
      <c r="C14" s="2">
        <v>1.41295642625337E-6</v>
      </c>
      <c r="D14" s="2">
        <v>0.99992428582605297</v>
      </c>
      <c r="E14" s="2">
        <v>2.1809300737267402E-6</v>
      </c>
      <c r="F14" s="2">
        <v>0.99990967803548703</v>
      </c>
      <c r="G14" s="2">
        <v>1.26795657777877E-6</v>
      </c>
    </row>
    <row r="15" spans="1:7">
      <c r="A15" s="2">
        <v>15.918279</v>
      </c>
      <c r="B15" s="2">
        <v>0.99992573443111499</v>
      </c>
      <c r="C15" s="2">
        <v>1.34338826928861E-6</v>
      </c>
      <c r="D15" s="2">
        <v>0.99992273242174501</v>
      </c>
      <c r="E15" s="2">
        <v>2.3483852911894901E-6</v>
      </c>
      <c r="F15" s="2">
        <v>0.99993621152438095</v>
      </c>
      <c r="G15" s="2">
        <v>1.31671379696401E-6</v>
      </c>
    </row>
    <row r="16" spans="1:7">
      <c r="A16" s="2">
        <v>15.918279</v>
      </c>
      <c r="B16" s="2">
        <v>0.99992020089049405</v>
      </c>
      <c r="C16" s="2">
        <v>2.86233646499131E-6</v>
      </c>
      <c r="D16" s="2">
        <v>0.99992323830176699</v>
      </c>
      <c r="E16" s="2">
        <v>2.5714530960302801E-6</v>
      </c>
      <c r="F16" s="2">
        <v>0.99993524515139398</v>
      </c>
      <c r="G16" s="2">
        <v>3.07452653811921E-6</v>
      </c>
    </row>
    <row r="17" spans="1:7">
      <c r="A17" s="2">
        <v>15.918279</v>
      </c>
      <c r="B17" s="2">
        <v>0.999926369649213</v>
      </c>
      <c r="C17" s="2">
        <v>1.5157827038042701E-6</v>
      </c>
      <c r="D17" s="2">
        <v>0.99992434423057297</v>
      </c>
      <c r="E17" s="2">
        <v>2.5888723903514199E-6</v>
      </c>
      <c r="F17" s="2">
        <v>0.99993299782471801</v>
      </c>
      <c r="G17" s="2">
        <v>9.0782270373406702E-7</v>
      </c>
    </row>
    <row r="18" spans="1:7">
      <c r="A18" s="2">
        <v>15.918279</v>
      </c>
      <c r="B18" s="2">
        <v>0.99992260633506702</v>
      </c>
      <c r="C18" s="2">
        <v>2.4661560041158799E-6</v>
      </c>
      <c r="D18" s="2">
        <v>0.99992125059135495</v>
      </c>
      <c r="E18" s="2">
        <v>2.1503626602682302E-6</v>
      </c>
      <c r="F18" s="2">
        <v>0.99992653913427298</v>
      </c>
      <c r="G18" s="2">
        <v>2.79795950063178E-6</v>
      </c>
    </row>
    <row r="19" spans="1:7">
      <c r="A19" s="2">
        <v>15.918279</v>
      </c>
      <c r="B19" s="2">
        <v>0.99992041258786302</v>
      </c>
      <c r="C19" s="2">
        <v>2.88748827709833E-6</v>
      </c>
      <c r="D19" s="2">
        <v>0.99991910127167705</v>
      </c>
      <c r="E19" s="2">
        <v>1.64945511140488E-6</v>
      </c>
      <c r="F19" s="2">
        <v>0.99992036218276703</v>
      </c>
      <c r="G19" s="2">
        <v>2.4827829463872702E-6</v>
      </c>
    </row>
    <row r="20" spans="1:7">
      <c r="A20" s="2">
        <v>15.918279</v>
      </c>
      <c r="B20" s="2">
        <v>0.99991999279943</v>
      </c>
      <c r="C20" s="2">
        <v>2.5607890309547801E-6</v>
      </c>
      <c r="D20" s="2">
        <v>0.99992165086743001</v>
      </c>
      <c r="E20" s="2">
        <v>1.43856502761355E-6</v>
      </c>
      <c r="F20" s="2">
        <v>0.99990506007088598</v>
      </c>
      <c r="G20" s="2">
        <v>1.46185622154731E-6</v>
      </c>
    </row>
    <row r="21" spans="1:7">
      <c r="A21" s="2">
        <v>159.18338600000001</v>
      </c>
      <c r="B21" s="2">
        <v>0.99991890611155199</v>
      </c>
      <c r="C21" s="2">
        <v>-7.8158182541544096E-7</v>
      </c>
      <c r="D21" s="2">
        <v>0.99991704626637701</v>
      </c>
      <c r="E21" s="2">
        <v>-3.1069466341431098E-7</v>
      </c>
      <c r="F21" s="2">
        <v>0.99992151419153497</v>
      </c>
      <c r="G21" s="2">
        <v>2.2910355425076998E-6</v>
      </c>
    </row>
    <row r="22" spans="1:7">
      <c r="A22" s="2">
        <v>159.18338600000001</v>
      </c>
      <c r="B22" s="2">
        <v>0.99992248232682601</v>
      </c>
      <c r="C22" s="2">
        <v>-8.33025382410313E-7</v>
      </c>
      <c r="D22" s="2">
        <v>0.99992057983017801</v>
      </c>
      <c r="E22" s="2">
        <v>-7.2732245037830495E-7</v>
      </c>
      <c r="F22" s="2">
        <v>0.99991510363958203</v>
      </c>
      <c r="G22" s="2">
        <v>-5.2370624044505603E-7</v>
      </c>
    </row>
    <row r="23" spans="1:7">
      <c r="A23" s="2">
        <v>159.18338600000001</v>
      </c>
      <c r="B23" s="2">
        <v>0.99991998063700305</v>
      </c>
      <c r="C23" s="2">
        <v>-4.7796954631382103E-7</v>
      </c>
      <c r="D23" s="2">
        <v>0.99991955524500797</v>
      </c>
      <c r="E23" s="2">
        <v>-4.8530496869340696E-7</v>
      </c>
      <c r="F23" s="2">
        <v>0.99993090103387205</v>
      </c>
      <c r="G23" s="2">
        <v>-1.71829058034075E-6</v>
      </c>
    </row>
    <row r="24" spans="1:7">
      <c r="A24" s="2">
        <v>159.18338600000001</v>
      </c>
      <c r="B24" s="2">
        <v>0.99992147616113602</v>
      </c>
      <c r="C24" s="2">
        <v>-1.01803433243307E-6</v>
      </c>
      <c r="D24" s="2">
        <v>0.99992265391146196</v>
      </c>
      <c r="E24" s="2">
        <v>-1.05378542542186E-6</v>
      </c>
      <c r="F24" s="2">
        <v>0.99991786807497296</v>
      </c>
      <c r="G24" s="2">
        <v>-2.3879634457670998E-6</v>
      </c>
    </row>
    <row r="25" spans="1:7">
      <c r="A25" s="2">
        <v>159.18338600000001</v>
      </c>
      <c r="B25" s="2">
        <v>0.99992206401072903</v>
      </c>
      <c r="C25" s="2">
        <v>-3.69739986626626E-7</v>
      </c>
      <c r="D25" s="2">
        <v>0.99992279941276396</v>
      </c>
      <c r="E25" s="2">
        <v>-9.0888218423387295E-7</v>
      </c>
      <c r="F25" s="2">
        <v>0.99991866797861195</v>
      </c>
      <c r="G25" s="2">
        <v>1.2267041155328601E-7</v>
      </c>
    </row>
    <row r="26" spans="1:7">
      <c r="A26" s="2">
        <v>159.18338600000001</v>
      </c>
      <c r="B26" s="2">
        <v>0.99992291146325796</v>
      </c>
      <c r="C26" s="2">
        <v>-5.2651855393035401E-7</v>
      </c>
      <c r="D26" s="2">
        <v>0.99992563064035</v>
      </c>
      <c r="E26" s="2">
        <v>-4.7234595906337498E-7</v>
      </c>
      <c r="F26" s="2">
        <v>0.99991546646499496</v>
      </c>
      <c r="G26" s="2">
        <v>-1.1660394719570501E-6</v>
      </c>
    </row>
    <row r="27" spans="1:7">
      <c r="A27" s="2">
        <v>159.18338600000001</v>
      </c>
      <c r="B27" s="2">
        <v>0.99992633354591898</v>
      </c>
      <c r="C27" s="2">
        <v>-7.8190396069634001E-7</v>
      </c>
      <c r="D27" s="2">
        <v>0.99992334683850403</v>
      </c>
      <c r="E27" s="2">
        <v>-6.1914291070226299E-7</v>
      </c>
      <c r="F27" s="2">
        <v>0.999920251862077</v>
      </c>
      <c r="G27" s="2">
        <v>-1.17337835642808E-6</v>
      </c>
    </row>
    <row r="28" spans="1:7">
      <c r="A28" s="2">
        <v>159.18338600000001</v>
      </c>
      <c r="B28" s="2">
        <v>0.99992488260097001</v>
      </c>
      <c r="C28" s="2">
        <v>-7.8499321795279302E-7</v>
      </c>
      <c r="D28" s="2">
        <v>0.99992040337485899</v>
      </c>
      <c r="E28" s="2">
        <v>-5.9699028514420501E-7</v>
      </c>
      <c r="F28" s="2">
        <v>0.99992370628959604</v>
      </c>
      <c r="G28" s="2">
        <v>-1.16490716302882E-6</v>
      </c>
    </row>
    <row r="29" spans="1:7">
      <c r="A29" s="2">
        <v>1591.630257</v>
      </c>
      <c r="B29" s="2">
        <v>0.99992015213268504</v>
      </c>
      <c r="C29" s="2">
        <v>-1.0766145203668699E-5</v>
      </c>
      <c r="D29" s="2">
        <v>0.99991894514532997</v>
      </c>
      <c r="E29" s="2">
        <v>-1.07895617897619E-5</v>
      </c>
      <c r="F29" s="2">
        <v>0.99991276518997196</v>
      </c>
      <c r="G29" s="2">
        <v>-3.82524445442554E-6</v>
      </c>
    </row>
    <row r="30" spans="1:7">
      <c r="A30" s="2">
        <v>1591.630257</v>
      </c>
      <c r="B30" s="2">
        <v>0.99992092690113998</v>
      </c>
      <c r="C30" s="2">
        <v>-1.05302718143336E-5</v>
      </c>
      <c r="D30" s="2">
        <v>0.99991826772624803</v>
      </c>
      <c r="E30" s="2">
        <v>-1.05136842993584E-5</v>
      </c>
      <c r="F30" s="2">
        <v>0.99991253395773705</v>
      </c>
      <c r="G30" s="2">
        <v>-4.7413755989932696E-6</v>
      </c>
    </row>
    <row r="31" spans="1:7">
      <c r="A31" s="2">
        <v>1591.630257</v>
      </c>
      <c r="B31" s="2">
        <v>0.99992092066675797</v>
      </c>
      <c r="C31" s="2">
        <v>-1.06346301360605E-5</v>
      </c>
      <c r="D31" s="2">
        <v>0.99991889192047101</v>
      </c>
      <c r="E31" s="2">
        <v>-1.0949602242247099E-5</v>
      </c>
      <c r="F31" s="2">
        <v>0.999914114832121</v>
      </c>
      <c r="G31" s="2">
        <v>2.4050902048118702E-6</v>
      </c>
    </row>
    <row r="32" spans="1:7">
      <c r="A32" s="2">
        <v>1591.630257</v>
      </c>
      <c r="B32" s="2">
        <v>0.99992031563981398</v>
      </c>
      <c r="C32" s="2">
        <v>-1.0652390163966099E-5</v>
      </c>
      <c r="D32" s="2">
        <v>0.99992267538602198</v>
      </c>
      <c r="E32" s="2">
        <v>-1.09268867090364E-5</v>
      </c>
      <c r="F32" s="2">
        <v>0.99993036258627299</v>
      </c>
      <c r="G32" s="2">
        <v>-1.1829667621774301E-5</v>
      </c>
    </row>
    <row r="33" spans="1:7">
      <c r="A33" s="2">
        <v>1591.630257</v>
      </c>
      <c r="B33" s="2">
        <v>0.99992065239441197</v>
      </c>
      <c r="C33" s="2">
        <v>-1.1292827985789099E-5</v>
      </c>
      <c r="D33" s="2">
        <v>0.99991952236371595</v>
      </c>
      <c r="E33" s="2">
        <v>-1.11542440659733E-5</v>
      </c>
      <c r="F33" s="2">
        <v>0.99992379571413503</v>
      </c>
      <c r="G33" s="2">
        <v>-3.9767080054023996E-6</v>
      </c>
    </row>
    <row r="34" spans="1:7">
      <c r="A34" s="2">
        <v>1591.630257</v>
      </c>
      <c r="B34" s="2">
        <v>0.99991769263177199</v>
      </c>
      <c r="C34" s="2">
        <v>-1.1029999573799001E-5</v>
      </c>
      <c r="D34" s="2">
        <v>0.99991788537154103</v>
      </c>
      <c r="E34" s="2">
        <v>-1.11290625527107E-5</v>
      </c>
      <c r="F34" s="2">
        <v>0.99992377774614605</v>
      </c>
      <c r="G34" s="2">
        <v>-3.9232352204944498E-6</v>
      </c>
    </row>
    <row r="35" spans="1:7">
      <c r="A35" s="2">
        <v>1591.630257</v>
      </c>
      <c r="B35" s="2">
        <v>0.99991663746887804</v>
      </c>
      <c r="C35" s="2">
        <v>-1.1116401020513E-5</v>
      </c>
      <c r="D35" s="2">
        <v>0.99991795111396597</v>
      </c>
      <c r="E35" s="2">
        <v>-1.12482332099022E-5</v>
      </c>
      <c r="F35" s="2">
        <v>0.99992157847529695</v>
      </c>
      <c r="G35" s="2">
        <v>-1.5502135839081799E-5</v>
      </c>
    </row>
    <row r="36" spans="1:7">
      <c r="A36" s="2">
        <v>1591.630257</v>
      </c>
      <c r="B36" s="2">
        <v>0.99991619813293997</v>
      </c>
      <c r="C36" s="2">
        <v>-1.12203917354411E-5</v>
      </c>
      <c r="D36" s="2">
        <v>0.999915593152222</v>
      </c>
      <c r="E36" s="2">
        <v>-1.1869574487184399E-5</v>
      </c>
      <c r="F36" s="2">
        <v>0.999923408417703</v>
      </c>
      <c r="G36" s="2">
        <v>-1.50623903407816E-5</v>
      </c>
    </row>
    <row r="37" spans="1:7">
      <c r="A37" s="2">
        <v>15918.331518999999</v>
      </c>
      <c r="B37" s="2">
        <v>0.99989359970782599</v>
      </c>
      <c r="C37" s="2">
        <v>-1.8440867064994401E-5</v>
      </c>
      <c r="D37" s="2">
        <v>0.99989316416538998</v>
      </c>
      <c r="E37" s="2">
        <v>-1.8947906495159101E-5</v>
      </c>
      <c r="F37" s="2">
        <v>0.99988665062980098</v>
      </c>
      <c r="G37" s="2">
        <v>-1.09969349921349E-5</v>
      </c>
    </row>
    <row r="38" spans="1:7">
      <c r="A38" s="2">
        <v>15918.331518999999</v>
      </c>
      <c r="B38" s="2">
        <v>0.99989179597772204</v>
      </c>
      <c r="C38" s="2">
        <v>-1.83183896227551E-5</v>
      </c>
      <c r="D38" s="2">
        <v>0.99989150954129702</v>
      </c>
      <c r="E38" s="2">
        <v>-1.88454890533338E-5</v>
      </c>
      <c r="F38" s="2">
        <v>0.99990245059664196</v>
      </c>
      <c r="G38" s="2">
        <v>-2.5460098167222598E-6</v>
      </c>
    </row>
    <row r="39" spans="1:7">
      <c r="A39" s="2">
        <v>15918.331518999999</v>
      </c>
      <c r="B39" s="2">
        <v>0.99989360822990003</v>
      </c>
      <c r="C39" s="2">
        <v>-1.7994629290174499E-5</v>
      </c>
      <c r="D39" s="2">
        <v>0.99989328905899499</v>
      </c>
      <c r="E39" s="2">
        <v>-1.8932931063882101E-5</v>
      </c>
      <c r="F39" s="2">
        <v>0.99989653692526803</v>
      </c>
      <c r="G39" s="2">
        <v>-2.6264838493439599E-5</v>
      </c>
    </row>
    <row r="40" spans="1:7">
      <c r="A40" s="2">
        <v>15918.331518999999</v>
      </c>
      <c r="B40" s="2">
        <v>0.99989423965074298</v>
      </c>
      <c r="C40" s="2">
        <v>-1.8477064812014699E-5</v>
      </c>
      <c r="D40" s="2">
        <v>0.99989225382937097</v>
      </c>
      <c r="E40" s="2">
        <v>-1.9053405687202699E-5</v>
      </c>
      <c r="F40" s="2">
        <v>0.99989602810922396</v>
      </c>
      <c r="G40" s="2">
        <v>1.4407168766181E-5</v>
      </c>
    </row>
    <row r="41" spans="1:7">
      <c r="A41" s="2">
        <v>15918.331518999999</v>
      </c>
      <c r="B41" s="2">
        <v>0.999892531910892</v>
      </c>
      <c r="C41" s="2">
        <v>-1.8417182531371199E-5</v>
      </c>
      <c r="D41" s="2">
        <v>0.99989309312913199</v>
      </c>
      <c r="E41" s="2">
        <v>-1.8567623865991999E-5</v>
      </c>
      <c r="F41" s="2">
        <v>0.99987628727281597</v>
      </c>
      <c r="G41" s="2">
        <v>-7.6175442745012603E-5</v>
      </c>
    </row>
    <row r="42" spans="1:7">
      <c r="A42" s="2">
        <v>15918.331518999999</v>
      </c>
      <c r="B42" s="2">
        <v>0.999893041922024</v>
      </c>
      <c r="C42" s="2">
        <v>-1.73598958167541E-5</v>
      </c>
      <c r="D42" s="2">
        <v>0.999892939048176</v>
      </c>
      <c r="E42" s="2">
        <v>-1.8357128976852301E-5</v>
      </c>
      <c r="F42" s="2">
        <v>0.99988625851467305</v>
      </c>
      <c r="G42" s="2">
        <v>-2.9276091801866098E-6</v>
      </c>
    </row>
    <row r="43" spans="1:7">
      <c r="A43" s="2">
        <v>15918.331518999999</v>
      </c>
      <c r="B43" s="2">
        <v>0.99989161271363103</v>
      </c>
      <c r="C43" s="2">
        <v>-1.75003127458804E-5</v>
      </c>
      <c r="D43" s="2">
        <v>0.99989164464553504</v>
      </c>
      <c r="E43" s="2">
        <v>-1.77196060427414E-5</v>
      </c>
      <c r="F43" s="2">
        <v>0.99989079642804202</v>
      </c>
      <c r="G43" s="2">
        <v>-5.7804149687059696E-6</v>
      </c>
    </row>
    <row r="44" spans="1:7">
      <c r="A44" s="2">
        <v>15918.331518999999</v>
      </c>
      <c r="B44" s="2">
        <v>0.99989305569462705</v>
      </c>
      <c r="C44" s="2">
        <v>-1.7741985820408001E-5</v>
      </c>
      <c r="D44" s="2">
        <v>0.99989252818678798</v>
      </c>
      <c r="E44" s="2">
        <v>-1.6967343352308799E-5</v>
      </c>
      <c r="F44" s="2">
        <v>0.99988460696249404</v>
      </c>
      <c r="G44" s="2">
        <v>4.4353609313251899E-5</v>
      </c>
    </row>
    <row r="45" spans="1:7">
      <c r="A45" s="2" t="s">
        <v>23</v>
      </c>
      <c r="B45" s="2" t="s">
        <v>1</v>
      </c>
      <c r="C45" s="2" t="s">
        <v>2</v>
      </c>
      <c r="D45" s="2" t="s">
        <v>26</v>
      </c>
    </row>
    <row r="48" spans="1:7">
      <c r="A48" s="2" t="s">
        <v>0</v>
      </c>
      <c r="B48" s="2" t="s">
        <v>1</v>
      </c>
      <c r="C48" s="2" t="s">
        <v>2</v>
      </c>
      <c r="D48" s="2" t="s">
        <v>24</v>
      </c>
    </row>
    <row r="49" spans="1:5">
      <c r="A49" s="2" t="s">
        <v>3</v>
      </c>
      <c r="B49" s="2" t="s">
        <v>4</v>
      </c>
      <c r="C49" s="2" t="s">
        <v>2</v>
      </c>
      <c r="D49" s="2" t="s">
        <v>25</v>
      </c>
    </row>
    <row r="50" spans="1:5">
      <c r="A50" s="2" t="s">
        <v>5</v>
      </c>
      <c r="B50" s="2" t="s">
        <v>2</v>
      </c>
      <c r="C50" s="2" t="s">
        <v>6</v>
      </c>
    </row>
    <row r="51" spans="1:5">
      <c r="A51" s="2" t="s">
        <v>7</v>
      </c>
    </row>
    <row r="52" spans="1:5">
      <c r="B52" s="2" t="s">
        <v>8</v>
      </c>
      <c r="C52" s="2" t="s">
        <v>9</v>
      </c>
      <c r="D52" s="3" t="s">
        <v>39</v>
      </c>
    </row>
    <row r="53" spans="1:5">
      <c r="B53" s="2" t="s">
        <v>10</v>
      </c>
      <c r="C53" s="2" t="s">
        <v>11</v>
      </c>
    </row>
    <row r="54" spans="1:5">
      <c r="B54" s="2" t="s">
        <v>12</v>
      </c>
      <c r="C54" s="2" t="s">
        <v>13</v>
      </c>
    </row>
    <row r="55" spans="1:5">
      <c r="B55" s="2" t="s">
        <v>14</v>
      </c>
      <c r="C55" s="2" t="s">
        <v>38</v>
      </c>
    </row>
    <row r="56" spans="1:5">
      <c r="B56" s="2" t="s">
        <v>15</v>
      </c>
      <c r="C56" s="2" t="s">
        <v>16</v>
      </c>
    </row>
    <row r="57" spans="1:5">
      <c r="B57" s="2" t="s">
        <v>17</v>
      </c>
      <c r="C57" s="2" t="s">
        <v>18</v>
      </c>
    </row>
    <row r="58" spans="1:5">
      <c r="A58" s="2" t="s">
        <v>19</v>
      </c>
    </row>
    <row r="59" spans="1:5">
      <c r="A59" s="2" t="s">
        <v>20</v>
      </c>
      <c r="B59" s="2">
        <v>5356800</v>
      </c>
      <c r="C59" s="2" t="s">
        <v>21</v>
      </c>
      <c r="D59" s="2" t="s">
        <v>22</v>
      </c>
      <c r="E59" s="2">
        <v>5378015</v>
      </c>
    </row>
    <row r="60" spans="1:5">
      <c r="A60" s="2">
        <v>15.918279</v>
      </c>
      <c r="B60" s="2">
        <v>0.99992159065301001</v>
      </c>
      <c r="C60" s="2">
        <v>2.6872157266458799E-6</v>
      </c>
    </row>
    <row r="61" spans="1:5">
      <c r="A61" s="2">
        <v>15.918279</v>
      </c>
      <c r="B61" s="2">
        <v>0.99992718641762501</v>
      </c>
      <c r="C61" s="2">
        <v>3.34293321456696E-6</v>
      </c>
    </row>
    <row r="62" spans="1:5">
      <c r="A62" s="2">
        <v>15.918279</v>
      </c>
      <c r="B62" s="2">
        <v>0.99992320384830202</v>
      </c>
      <c r="C62" s="2">
        <v>4.4034775698542197E-6</v>
      </c>
    </row>
    <row r="63" spans="1:5">
      <c r="A63" s="2">
        <v>15.918279</v>
      </c>
      <c r="B63" s="2">
        <v>0.99993013379398799</v>
      </c>
      <c r="C63" s="2">
        <v>2.7201353360898502E-6</v>
      </c>
    </row>
    <row r="64" spans="1:5">
      <c r="A64" s="2">
        <v>15.918279</v>
      </c>
      <c r="B64" s="2">
        <v>0.99991881132181004</v>
      </c>
      <c r="C64" s="2">
        <v>5.6694101559016098E-6</v>
      </c>
    </row>
    <row r="65" spans="1:3">
      <c r="A65" s="2">
        <v>15.918279</v>
      </c>
      <c r="B65" s="2">
        <v>0.99992441886717598</v>
      </c>
      <c r="C65" s="2">
        <v>2.76232025455341E-6</v>
      </c>
    </row>
    <row r="66" spans="1:3">
      <c r="A66" s="2">
        <v>15.918279</v>
      </c>
      <c r="B66" s="2">
        <v>0.99992104527996295</v>
      </c>
      <c r="C66" s="2">
        <v>1.7112425763846699E-7</v>
      </c>
    </row>
    <row r="67" spans="1:3">
      <c r="A67" s="2">
        <v>15.918279</v>
      </c>
      <c r="B67" s="2">
        <v>0.99992939984972096</v>
      </c>
      <c r="C67" s="2">
        <v>1.5375154947644599E-6</v>
      </c>
    </row>
    <row r="68" spans="1:3">
      <c r="A68" s="2">
        <v>159.18338600000001</v>
      </c>
      <c r="B68" s="2">
        <v>0.99990528913501697</v>
      </c>
      <c r="C68" s="2">
        <v>2.27302444800716E-7</v>
      </c>
    </row>
    <row r="69" spans="1:3">
      <c r="A69" s="2">
        <v>159.18338600000001</v>
      </c>
      <c r="B69" s="2">
        <v>0.99992300491935104</v>
      </c>
      <c r="C69" s="2">
        <v>1.66543201056683E-6</v>
      </c>
    </row>
    <row r="70" spans="1:3">
      <c r="A70" s="2">
        <v>159.18338600000001</v>
      </c>
      <c r="B70" s="2">
        <v>0.99991102458935299</v>
      </c>
      <c r="C70" s="2">
        <v>-1.47720737517071E-7</v>
      </c>
    </row>
    <row r="71" spans="1:3">
      <c r="A71" s="2">
        <v>159.18338600000001</v>
      </c>
      <c r="B71" s="2">
        <v>0.99992460521802995</v>
      </c>
      <c r="C71" s="2">
        <v>-7.5511254215513202E-7</v>
      </c>
    </row>
    <row r="72" spans="1:3">
      <c r="A72" s="2">
        <v>159.18338600000001</v>
      </c>
      <c r="B72" s="2">
        <v>0.99992058384342697</v>
      </c>
      <c r="C72" s="2">
        <v>-2.8304723980625501E-7</v>
      </c>
    </row>
    <row r="73" spans="1:3">
      <c r="A73" s="2">
        <v>159.18338600000001</v>
      </c>
      <c r="B73" s="2">
        <v>0.999918549543235</v>
      </c>
      <c r="C73" s="2">
        <v>-2.9022029998110501E-7</v>
      </c>
    </row>
    <row r="74" spans="1:3">
      <c r="A74" s="2">
        <v>159.18338600000001</v>
      </c>
      <c r="B74" s="2">
        <v>0.99991571849512095</v>
      </c>
      <c r="C74" s="2">
        <v>-5.71476743332662E-7</v>
      </c>
    </row>
    <row r="75" spans="1:3">
      <c r="A75" s="2">
        <v>159.18338600000001</v>
      </c>
      <c r="B75" s="2">
        <v>0.99991616711429199</v>
      </c>
      <c r="C75" s="2">
        <v>9.6099662903469907E-7</v>
      </c>
    </row>
    <row r="76" spans="1:3">
      <c r="A76" s="2">
        <v>1591.630257</v>
      </c>
      <c r="B76" s="2">
        <v>0.999913326814592</v>
      </c>
      <c r="C76" s="2">
        <v>-6.6266576409213602E-6</v>
      </c>
    </row>
    <row r="77" spans="1:3">
      <c r="A77" s="2">
        <v>1591.630257</v>
      </c>
      <c r="B77" s="2">
        <v>0.99991054386919598</v>
      </c>
      <c r="C77" s="2">
        <v>-9.1246749097648695E-6</v>
      </c>
    </row>
    <row r="78" spans="1:3">
      <c r="A78" s="2">
        <v>1591.630257</v>
      </c>
      <c r="B78" s="2">
        <v>0.99991757503966106</v>
      </c>
      <c r="C78" s="2">
        <v>-1.43143169527787E-5</v>
      </c>
    </row>
    <row r="79" spans="1:3">
      <c r="A79" s="2">
        <v>1591.630257</v>
      </c>
      <c r="B79" s="2">
        <v>0.99991075969686005</v>
      </c>
      <c r="C79" s="2">
        <v>-2.9665100836083002E-5</v>
      </c>
    </row>
    <row r="80" spans="1:3">
      <c r="A80" s="2">
        <v>1591.630257</v>
      </c>
      <c r="B80" s="2">
        <v>0.99990873833982896</v>
      </c>
      <c r="C80" s="2">
        <v>-9.5732812016077497E-6</v>
      </c>
    </row>
    <row r="81" spans="1:4">
      <c r="A81" s="2">
        <v>1591.630257</v>
      </c>
      <c r="B81" s="2">
        <v>0.99991905903040901</v>
      </c>
      <c r="C81" s="2">
        <v>-1.4408625462936201E-5</v>
      </c>
    </row>
    <row r="82" spans="1:4">
      <c r="A82" s="2">
        <v>1591.630257</v>
      </c>
      <c r="B82" s="2">
        <v>0.99990580902730797</v>
      </c>
      <c r="C82" s="2">
        <v>-6.13592293491175E-6</v>
      </c>
    </row>
    <row r="83" spans="1:4">
      <c r="A83" s="2">
        <v>1591.630257</v>
      </c>
      <c r="B83" s="2">
        <v>0.99991679857718796</v>
      </c>
      <c r="C83" s="2">
        <v>-1.03036325054529E-5</v>
      </c>
    </row>
    <row r="84" spans="1:4">
      <c r="A84" s="2">
        <v>15918.331518999999</v>
      </c>
      <c r="B84" s="2">
        <v>0.99987257990641498</v>
      </c>
      <c r="C84" s="2">
        <v>7.0053826658307103E-5</v>
      </c>
    </row>
    <row r="85" spans="1:4">
      <c r="A85" s="2">
        <v>15918.331518999999</v>
      </c>
      <c r="B85" s="2">
        <v>0.999900887451458</v>
      </c>
      <c r="C85" s="2">
        <v>7.2636394456681105E-5</v>
      </c>
    </row>
    <row r="86" spans="1:4">
      <c r="A86" s="2">
        <v>15918.331518999999</v>
      </c>
      <c r="B86" s="2">
        <v>0.99989821408480595</v>
      </c>
      <c r="C86" s="2">
        <v>-5.7720807949745E-5</v>
      </c>
    </row>
    <row r="87" spans="1:4">
      <c r="A87" s="2">
        <v>15918.331518999999</v>
      </c>
      <c r="B87" s="2">
        <v>0.99986279476517503</v>
      </c>
      <c r="C87" s="2">
        <v>-4.2225552388739998E-5</v>
      </c>
    </row>
    <row r="88" spans="1:4">
      <c r="A88" s="2">
        <v>15918.331518999999</v>
      </c>
      <c r="B88" s="2">
        <v>0.99989067638113704</v>
      </c>
      <c r="C88" s="2">
        <v>-1.7882300158167899E-5</v>
      </c>
    </row>
    <row r="89" spans="1:4">
      <c r="A89" s="2">
        <v>15918.331518999999</v>
      </c>
      <c r="B89" s="2">
        <v>0.99988601498694596</v>
      </c>
      <c r="C89" s="2">
        <v>1.3149563493324701E-4</v>
      </c>
    </row>
    <row r="90" spans="1:4">
      <c r="A90" s="2">
        <v>15918.331518999999</v>
      </c>
      <c r="B90" s="2">
        <v>0.99987871333247902</v>
      </c>
      <c r="C90" s="2">
        <v>-7.5158491548297306E-5</v>
      </c>
    </row>
    <row r="91" spans="1:4">
      <c r="A91" s="2">
        <v>15918.331518999999</v>
      </c>
      <c r="B91" s="2">
        <v>0.99989192607404598</v>
      </c>
      <c r="C91" s="2">
        <v>-1.9680929625031499E-4</v>
      </c>
    </row>
    <row r="92" spans="1:4">
      <c r="A92" s="2" t="s">
        <v>23</v>
      </c>
      <c r="B92" s="2" t="s">
        <v>1</v>
      </c>
      <c r="C92" s="2" t="s">
        <v>2</v>
      </c>
      <c r="D92" s="2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0"/>
  <sheetViews>
    <sheetView topLeftCell="B91" workbookViewId="0">
      <selection activeCell="G104" sqref="G104"/>
    </sheetView>
  </sheetViews>
  <sheetFormatPr baseColWidth="10" defaultRowHeight="15" x14ac:dyDescent="0"/>
  <cols>
    <col min="1" max="1" width="25" style="2" bestFit="1" customWidth="1"/>
    <col min="2" max="2" width="27.33203125" style="2" bestFit="1" customWidth="1"/>
    <col min="3" max="3" width="27.1640625" style="2" bestFit="1" customWidth="1"/>
    <col min="4" max="4" width="21.6640625" style="2" bestFit="1" customWidth="1"/>
    <col min="5" max="5" width="27.33203125" style="2" bestFit="1" customWidth="1"/>
    <col min="6" max="6" width="27.1640625" style="2" bestFit="1" customWidth="1"/>
    <col min="7" max="7" width="21.83203125" style="2" bestFit="1" customWidth="1"/>
    <col min="8" max="8" width="27" style="2" customWidth="1"/>
    <col min="9" max="9" width="25.6640625" style="2" customWidth="1"/>
    <col min="10" max="10" width="59.83203125" style="2" customWidth="1"/>
    <col min="11" max="16384" width="10.83203125" style="2"/>
  </cols>
  <sheetData>
    <row r="1" spans="1:10">
      <c r="A1" s="2" t="s">
        <v>0</v>
      </c>
      <c r="B1" s="2" t="s">
        <v>1</v>
      </c>
      <c r="C1" s="2" t="s">
        <v>2</v>
      </c>
      <c r="D1" s="2" t="s">
        <v>24</v>
      </c>
    </row>
    <row r="2" spans="1:10">
      <c r="A2" s="2" t="s">
        <v>3</v>
      </c>
      <c r="B2" s="2" t="s">
        <v>4</v>
      </c>
      <c r="C2" s="2" t="s">
        <v>2</v>
      </c>
      <c r="D2" s="2" t="s">
        <v>25</v>
      </c>
    </row>
    <row r="3" spans="1:10">
      <c r="A3" s="2" t="s">
        <v>5</v>
      </c>
      <c r="B3" s="2" t="s">
        <v>2</v>
      </c>
      <c r="C3" s="2" t="s">
        <v>6</v>
      </c>
    </row>
    <row r="4" spans="1:10">
      <c r="A4" s="2" t="s">
        <v>7</v>
      </c>
    </row>
    <row r="5" spans="1:10">
      <c r="B5" s="2" t="s">
        <v>8</v>
      </c>
      <c r="C5" s="2" t="s">
        <v>9</v>
      </c>
    </row>
    <row r="6" spans="1:10">
      <c r="B6" s="2" t="s">
        <v>10</v>
      </c>
      <c r="C6" s="2" t="s">
        <v>11</v>
      </c>
    </row>
    <row r="7" spans="1:10">
      <c r="B7" s="2" t="s">
        <v>12</v>
      </c>
      <c r="C7" s="2" t="s">
        <v>13</v>
      </c>
    </row>
    <row r="8" spans="1:10">
      <c r="B8" s="2" t="s">
        <v>14</v>
      </c>
      <c r="C8" s="2" t="s">
        <v>40</v>
      </c>
    </row>
    <row r="9" spans="1:10">
      <c r="B9" s="2" t="s">
        <v>15</v>
      </c>
      <c r="C9" s="2" t="s">
        <v>16</v>
      </c>
    </row>
    <row r="10" spans="1:10">
      <c r="B10" s="2" t="s">
        <v>17</v>
      </c>
      <c r="C10" s="2" t="s">
        <v>18</v>
      </c>
    </row>
    <row r="11" spans="1:10">
      <c r="A11" s="2" t="s">
        <v>19</v>
      </c>
    </row>
    <row r="12" spans="1:10">
      <c r="A12" s="2" t="s">
        <v>20</v>
      </c>
      <c r="B12" s="2">
        <v>5356800</v>
      </c>
      <c r="C12" s="2" t="s">
        <v>21</v>
      </c>
      <c r="D12" s="2" t="s">
        <v>22</v>
      </c>
      <c r="E12" s="2">
        <v>5374343</v>
      </c>
    </row>
    <row r="13" spans="1:10">
      <c r="A13" s="2">
        <v>15.918279</v>
      </c>
      <c r="B13" s="2">
        <v>0.99818594680077799</v>
      </c>
      <c r="C13" s="2">
        <v>-1.55030758920475E-4</v>
      </c>
      <c r="D13" s="2">
        <v>0.99818470250275204</v>
      </c>
      <c r="E13" s="2">
        <v>-1.56070482395809E-4</v>
      </c>
      <c r="F13" s="2">
        <v>0.99819075803835999</v>
      </c>
      <c r="G13" s="2">
        <v>-1.54600926444756E-4</v>
      </c>
      <c r="H13" s="2">
        <f>AVERAGE(B13:B20,D13:D20)</f>
        <v>0.99818357677948777</v>
      </c>
      <c r="I13" s="2">
        <f>AVERAGE(C13:C20,E13:E20)</f>
        <v>-1.5596998226997407E-4</v>
      </c>
      <c r="J13" s="2" t="str">
        <f>CONCATENATE("""imbalanceIn"": [",H13,", ",I13,"],")</f>
        <v>"imbalanceIn": [0.998183576779488, -0.000155969982269974],</v>
      </c>
    </row>
    <row r="14" spans="1:10">
      <c r="A14" s="2">
        <v>15.918279</v>
      </c>
      <c r="B14" s="2">
        <v>0.99818403952026502</v>
      </c>
      <c r="C14" s="2">
        <v>-1.55804994766071E-4</v>
      </c>
      <c r="D14" s="2">
        <v>0.99818282868665198</v>
      </c>
      <c r="E14" s="2">
        <v>-1.55890741360215E-4</v>
      </c>
      <c r="F14" s="2">
        <v>0.99818224325578198</v>
      </c>
      <c r="G14" s="2">
        <v>-1.5561754974399201E-4</v>
      </c>
    </row>
    <row r="15" spans="1:10">
      <c r="A15" s="2">
        <v>15.918279</v>
      </c>
      <c r="B15" s="2">
        <v>0.99818504613919701</v>
      </c>
      <c r="C15" s="2">
        <v>-1.5646999703464599E-4</v>
      </c>
      <c r="D15" s="2">
        <v>0.99818496452713401</v>
      </c>
      <c r="E15" s="2">
        <v>-1.56373229274684E-4</v>
      </c>
      <c r="F15" s="2">
        <v>0.99819239034568097</v>
      </c>
      <c r="G15" s="2">
        <v>-1.5595052455773299E-4</v>
      </c>
    </row>
    <row r="16" spans="1:10">
      <c r="A16" s="2">
        <v>15.918279</v>
      </c>
      <c r="B16" s="2">
        <v>0.99818615261547905</v>
      </c>
      <c r="C16" s="2">
        <v>-1.5650354827848999E-4</v>
      </c>
      <c r="D16" s="2">
        <v>0.99818489446877301</v>
      </c>
      <c r="E16" s="2">
        <v>-1.56701468160732E-4</v>
      </c>
      <c r="F16" s="2">
        <v>0.998178231567038</v>
      </c>
      <c r="G16" s="2">
        <v>-1.5747856373401399E-4</v>
      </c>
    </row>
    <row r="17" spans="1:10">
      <c r="A17" s="2">
        <v>15.918279</v>
      </c>
      <c r="B17" s="2">
        <v>0.99818358232666904</v>
      </c>
      <c r="C17" s="2">
        <v>-1.5628985961164201E-4</v>
      </c>
      <c r="D17" s="2">
        <v>0.99818367546493103</v>
      </c>
      <c r="E17" s="2">
        <v>-1.5578042036769199E-4</v>
      </c>
      <c r="F17" s="2">
        <v>0.99818397640616696</v>
      </c>
      <c r="G17" s="2">
        <v>-1.5717124163544901E-4</v>
      </c>
    </row>
    <row r="18" spans="1:10">
      <c r="A18" s="2">
        <v>15.918279</v>
      </c>
      <c r="B18" s="2">
        <v>0.99818210687320996</v>
      </c>
      <c r="C18" s="2">
        <v>-1.5503330931471699E-4</v>
      </c>
      <c r="D18" s="2">
        <v>0.99817893474036101</v>
      </c>
      <c r="E18" s="2">
        <v>-1.5571990271183599E-4</v>
      </c>
      <c r="F18" s="2">
        <v>0.99817427303663597</v>
      </c>
      <c r="G18" s="2">
        <v>-1.5523011363519499E-4</v>
      </c>
    </row>
    <row r="19" spans="1:10">
      <c r="A19" s="2">
        <v>15.918279</v>
      </c>
      <c r="B19" s="2">
        <v>0.99818158400259704</v>
      </c>
      <c r="C19" s="2">
        <v>-1.5630913576577401E-4</v>
      </c>
      <c r="D19" s="2">
        <v>0.998185142307637</v>
      </c>
      <c r="E19" s="2">
        <v>-1.5563649846057001E-4</v>
      </c>
      <c r="F19" s="2">
        <v>0.99817904172676897</v>
      </c>
      <c r="G19" s="2">
        <v>-1.5573791812304201E-4</v>
      </c>
    </row>
    <row r="20" spans="1:10">
      <c r="A20" s="2">
        <v>15.918279</v>
      </c>
      <c r="B20" s="2">
        <v>0.99818168171650001</v>
      </c>
      <c r="C20" s="2">
        <v>-1.55729002340458E-4</v>
      </c>
      <c r="D20" s="2">
        <v>0.99818194577887098</v>
      </c>
      <c r="E20" s="2">
        <v>-1.5617636755577399E-4</v>
      </c>
      <c r="F20" s="2">
        <v>0.99817396368588496</v>
      </c>
      <c r="G20" s="2">
        <v>-1.5472219429273301E-4</v>
      </c>
    </row>
    <row r="21" spans="1:10">
      <c r="A21" s="2">
        <v>159.18338600000001</v>
      </c>
      <c r="B21" s="2">
        <v>0.99818407086650995</v>
      </c>
      <c r="C21" s="2">
        <v>-1.4559769469723099E-5</v>
      </c>
      <c r="D21" s="2">
        <v>0.998185519197344</v>
      </c>
      <c r="E21" s="2">
        <v>-1.5480588242416201E-5</v>
      </c>
      <c r="F21" s="2">
        <v>0.99819050171648704</v>
      </c>
      <c r="G21" s="2">
        <v>-1.31448520242893E-5</v>
      </c>
      <c r="H21" s="2">
        <f>AVERAGE(B21:B28,D21:D28)</f>
        <v>0.99818229341640119</v>
      </c>
      <c r="I21" s="2">
        <f>AVERAGE(C21:C28,E21:E28)</f>
        <v>-1.4578844852934523E-5</v>
      </c>
      <c r="J21" s="2" t="str">
        <f>CONCATENATE("""imbalanceIn"": [",H21,", ",I21,"],")</f>
        <v>"imbalanceIn": [0.998182293416401, -1.45788448529345E-05],</v>
      </c>
    </row>
    <row r="22" spans="1:10">
      <c r="A22" s="2">
        <v>159.18338600000001</v>
      </c>
      <c r="B22" s="2">
        <v>0.99818147778825195</v>
      </c>
      <c r="C22" s="2">
        <v>-1.45548825577506E-5</v>
      </c>
      <c r="D22" s="2">
        <v>0.998180473419647</v>
      </c>
      <c r="E22" s="2">
        <v>-1.4358343123348901E-5</v>
      </c>
      <c r="F22" s="2">
        <v>0.99817762747146299</v>
      </c>
      <c r="G22" s="2">
        <v>-1.3575755075384701E-5</v>
      </c>
    </row>
    <row r="23" spans="1:10">
      <c r="A23" s="2">
        <v>159.18338600000001</v>
      </c>
      <c r="B23" s="2">
        <v>0.99818301766879203</v>
      </c>
      <c r="C23" s="2">
        <v>-1.42170373380421E-5</v>
      </c>
      <c r="D23" s="2">
        <v>0.99818140277280198</v>
      </c>
      <c r="E23" s="2">
        <v>-1.4074542852065701E-5</v>
      </c>
      <c r="F23" s="2">
        <v>0.998176451344997</v>
      </c>
      <c r="G23" s="2">
        <v>-1.55139766308076E-5</v>
      </c>
    </row>
    <row r="24" spans="1:10">
      <c r="A24" s="2">
        <v>159.18338600000001</v>
      </c>
      <c r="B24" s="2">
        <v>0.99818056796788301</v>
      </c>
      <c r="C24" s="2">
        <v>-1.4940999414605E-5</v>
      </c>
      <c r="D24" s="2">
        <v>0.99818092446064999</v>
      </c>
      <c r="E24" s="2">
        <v>-1.4859995944157101E-5</v>
      </c>
      <c r="F24" s="2">
        <v>0.99818466098839997</v>
      </c>
      <c r="G24" s="2">
        <v>-1.6330101832075701E-5</v>
      </c>
    </row>
    <row r="25" spans="1:10">
      <c r="A25" s="2">
        <v>159.18338600000001</v>
      </c>
      <c r="B25" s="2">
        <v>0.99818252720191603</v>
      </c>
      <c r="C25" s="2">
        <v>-1.51128592852879E-5</v>
      </c>
      <c r="D25" s="2">
        <v>0.99818314336117198</v>
      </c>
      <c r="E25" s="2">
        <v>-1.4672374871487199E-5</v>
      </c>
      <c r="F25" s="2">
        <v>0.99818907666227497</v>
      </c>
      <c r="G25" s="2">
        <v>-1.4248172756171899E-5</v>
      </c>
    </row>
    <row r="26" spans="1:10">
      <c r="A26" s="2">
        <v>159.18338600000001</v>
      </c>
      <c r="B26" s="2">
        <v>0.99818483933067204</v>
      </c>
      <c r="C26" s="2">
        <v>-1.41338385951637E-5</v>
      </c>
      <c r="D26" s="2">
        <v>0.99818313866688002</v>
      </c>
      <c r="E26" s="2">
        <v>-1.4432203346897501E-5</v>
      </c>
      <c r="F26" s="2">
        <v>0.99819725788025904</v>
      </c>
      <c r="G26" s="2">
        <v>-1.3511407812977E-5</v>
      </c>
    </row>
    <row r="27" spans="1:10">
      <c r="A27" s="2">
        <v>159.18338600000001</v>
      </c>
      <c r="B27" s="2">
        <v>0.99818005418840905</v>
      </c>
      <c r="C27" s="2">
        <v>-1.44384537440282E-5</v>
      </c>
      <c r="D27" s="2">
        <v>0.998180851469194</v>
      </c>
      <c r="E27" s="2">
        <v>-1.4500663156699E-5</v>
      </c>
      <c r="F27" s="2">
        <v>0.99817016562498995</v>
      </c>
      <c r="G27" s="2">
        <v>-1.3804284886696301E-5</v>
      </c>
    </row>
    <row r="28" spans="1:10">
      <c r="A28" s="2">
        <v>159.18338600000001</v>
      </c>
      <c r="B28" s="2">
        <v>0.99818115691422005</v>
      </c>
      <c r="C28" s="2">
        <v>-1.41925186195539E-5</v>
      </c>
      <c r="D28" s="2">
        <v>0.99818352938807797</v>
      </c>
      <c r="E28" s="2">
        <v>-1.47324470857263E-5</v>
      </c>
      <c r="F28" s="2">
        <v>0.99818256882726797</v>
      </c>
      <c r="G28" s="2">
        <v>-1.58458374262783E-5</v>
      </c>
    </row>
    <row r="29" spans="1:10">
      <c r="A29" s="2">
        <v>1591.630257</v>
      </c>
      <c r="B29" s="2">
        <v>0.99818054927225597</v>
      </c>
      <c r="C29" s="2">
        <v>4.6985385396567903E-6</v>
      </c>
      <c r="D29" s="2">
        <v>0.99818168687610198</v>
      </c>
      <c r="E29" s="2">
        <v>5.0719514680323901E-6</v>
      </c>
      <c r="F29" s="2">
        <v>0.99818603975494402</v>
      </c>
      <c r="G29" s="2">
        <v>9.6584123338806401E-6</v>
      </c>
      <c r="H29" s="2">
        <f>AVERAGE(B29:B36,D29:D36)</f>
        <v>0.99818428594480968</v>
      </c>
      <c r="I29" s="2">
        <f>AVERAGE(C29:C36,E29:E36)</f>
        <v>5.112565164139831E-6</v>
      </c>
      <c r="J29" s="2" t="str">
        <f>CONCATENATE("""imbalanceIn"": [",H29,", ",I29,"],")</f>
        <v>"imbalanceIn": [0.99818428594481, 5.11256516413983E-06],</v>
      </c>
    </row>
    <row r="30" spans="1:10">
      <c r="A30" s="2">
        <v>1591.630257</v>
      </c>
      <c r="B30" s="2">
        <v>0.99818762816067697</v>
      </c>
      <c r="C30" s="2">
        <v>4.7808609818762599E-6</v>
      </c>
      <c r="D30" s="2">
        <v>0.99818753467342003</v>
      </c>
      <c r="E30" s="2">
        <v>5.1748097431307898E-6</v>
      </c>
      <c r="F30" s="2">
        <v>0.99817869985520602</v>
      </c>
      <c r="G30" s="2">
        <v>7.5658692654515004E-6</v>
      </c>
    </row>
    <row r="31" spans="1:10">
      <c r="A31" s="2">
        <v>1591.630257</v>
      </c>
      <c r="B31" s="2">
        <v>0.99818494078706299</v>
      </c>
      <c r="C31" s="2">
        <v>4.9710633108574902E-6</v>
      </c>
      <c r="D31" s="2">
        <v>0.99818384349768097</v>
      </c>
      <c r="E31" s="2">
        <v>4.81854012873409E-6</v>
      </c>
      <c r="F31" s="2">
        <v>0.99817477323438497</v>
      </c>
      <c r="G31" s="2">
        <v>9.3906603840521603E-6</v>
      </c>
    </row>
    <row r="32" spans="1:10">
      <c r="A32" s="2">
        <v>1591.630257</v>
      </c>
      <c r="B32" s="2">
        <v>0.99818487041330795</v>
      </c>
      <c r="C32" s="2">
        <v>5.3607166403589001E-6</v>
      </c>
      <c r="D32" s="2">
        <v>0.99818450964628602</v>
      </c>
      <c r="E32" s="2">
        <v>5.1141281961506203E-6</v>
      </c>
      <c r="F32" s="2">
        <v>0.99817978703883803</v>
      </c>
      <c r="G32" s="2">
        <v>1.13210830644021E-5</v>
      </c>
    </row>
    <row r="33" spans="1:10">
      <c r="A33" s="2">
        <v>1591.630257</v>
      </c>
      <c r="B33" s="2">
        <v>0.99818345621054205</v>
      </c>
      <c r="C33" s="2">
        <v>5.0372291706924397E-6</v>
      </c>
      <c r="D33" s="2">
        <v>0.99818424249675997</v>
      </c>
      <c r="E33" s="2">
        <v>5.2296051296535903E-6</v>
      </c>
      <c r="F33" s="2">
        <v>0.99817617432452299</v>
      </c>
      <c r="G33" s="2">
        <v>3.3476921582381E-6</v>
      </c>
    </row>
    <row r="34" spans="1:10">
      <c r="A34" s="2">
        <v>1591.630257</v>
      </c>
      <c r="B34" s="2">
        <v>0.99818498528075605</v>
      </c>
      <c r="C34" s="2">
        <v>5.3124692645207303E-6</v>
      </c>
      <c r="D34" s="2">
        <v>0.99818287681386797</v>
      </c>
      <c r="E34" s="2">
        <v>5.2088809932093503E-6</v>
      </c>
      <c r="F34" s="2">
        <v>0.99818656107383097</v>
      </c>
      <c r="G34" s="2">
        <v>-9.7935884960768796E-6</v>
      </c>
    </row>
    <row r="35" spans="1:10">
      <c r="A35" s="2">
        <v>1591.630257</v>
      </c>
      <c r="B35" s="2">
        <v>0.99818573246598297</v>
      </c>
      <c r="C35" s="2">
        <v>5.5770968956391302E-6</v>
      </c>
      <c r="D35" s="2">
        <v>0.99818490065799004</v>
      </c>
      <c r="E35" s="2">
        <v>5.17044814801168E-6</v>
      </c>
      <c r="F35" s="2">
        <v>0.99818587100408096</v>
      </c>
      <c r="G35" s="2">
        <v>-1.52110748877165E-5</v>
      </c>
    </row>
    <row r="36" spans="1:10">
      <c r="A36" s="2">
        <v>1591.630257</v>
      </c>
      <c r="B36" s="2">
        <v>0.99818232165626597</v>
      </c>
      <c r="C36" s="2">
        <v>5.2674918990013996E-6</v>
      </c>
      <c r="D36" s="2">
        <v>0.99818449620799699</v>
      </c>
      <c r="E36" s="2">
        <v>5.0072121167116402E-6</v>
      </c>
      <c r="F36" s="2">
        <v>0.99819448094467</v>
      </c>
      <c r="G36" s="2">
        <v>1.48671884529351E-5</v>
      </c>
    </row>
    <row r="37" spans="1:10">
      <c r="A37" s="2">
        <v>15918.331518999999</v>
      </c>
      <c r="B37" s="2">
        <v>0.99819196286768397</v>
      </c>
      <c r="C37" s="2">
        <v>2.9020163567011901E-5</v>
      </c>
      <c r="D37" s="2">
        <v>0.99819562705389397</v>
      </c>
      <c r="E37" s="2">
        <v>2.9257494828827301E-5</v>
      </c>
      <c r="F37" s="2">
        <v>0.99819566915479296</v>
      </c>
      <c r="G37" s="2">
        <v>-4.8376055127997598E-5</v>
      </c>
      <c r="H37" s="2">
        <f>AVERAGE(B37:B44,D37:D44)</f>
        <v>0.99819508094383513</v>
      </c>
      <c r="I37" s="2">
        <f>AVERAGE(C37:C44,E37:E44)</f>
        <v>2.9116888939456977E-5</v>
      </c>
      <c r="J37" s="2" t="str">
        <f>CONCATENATE("""imbalanceIn"": [",H37,", ",I37,"],")</f>
        <v>"imbalanceIn": [0.998195080943835, 0.000029116888939457],</v>
      </c>
    </row>
    <row r="38" spans="1:10">
      <c r="A38" s="2">
        <v>15918.331518999999</v>
      </c>
      <c r="B38" s="2">
        <v>0.99819381725346201</v>
      </c>
      <c r="C38" s="2">
        <v>2.8785299362662799E-5</v>
      </c>
      <c r="D38" s="2">
        <v>0.99819460694548501</v>
      </c>
      <c r="E38" s="2">
        <v>2.9137728305738E-5</v>
      </c>
      <c r="F38" s="2">
        <v>0.99819773358956798</v>
      </c>
      <c r="G38" s="2">
        <v>1.06196790914829E-4</v>
      </c>
    </row>
    <row r="39" spans="1:10">
      <c r="A39" s="2">
        <v>15918.331518999999</v>
      </c>
      <c r="B39" s="2">
        <v>0.99819186073744104</v>
      </c>
      <c r="C39" s="2">
        <v>2.87907140111774E-5</v>
      </c>
      <c r="D39" s="2">
        <v>0.99819266029570097</v>
      </c>
      <c r="E39" s="2">
        <v>2.9187238156299101E-5</v>
      </c>
      <c r="F39" s="2">
        <v>0.99819684370722295</v>
      </c>
      <c r="G39" s="2">
        <v>2.72950249266502E-5</v>
      </c>
    </row>
    <row r="40" spans="1:10">
      <c r="A40" s="2">
        <v>15918.331518999999</v>
      </c>
      <c r="B40" s="2">
        <v>0.99819200729436097</v>
      </c>
      <c r="C40" s="2">
        <v>2.9369507290900801E-5</v>
      </c>
      <c r="D40" s="2">
        <v>0.99819358103618305</v>
      </c>
      <c r="E40" s="2">
        <v>2.86785376493887E-5</v>
      </c>
      <c r="F40" s="2">
        <v>0.99819237212292999</v>
      </c>
      <c r="G40" s="2">
        <v>6.3300034413865496E-5</v>
      </c>
    </row>
    <row r="41" spans="1:10">
      <c r="A41" s="2">
        <v>15918.331518999999</v>
      </c>
      <c r="B41" s="2">
        <v>0.99819573513257198</v>
      </c>
      <c r="C41" s="2">
        <v>2.9941347001824502E-5</v>
      </c>
      <c r="D41" s="2">
        <v>0.99819654145929304</v>
      </c>
      <c r="E41" s="2">
        <v>2.9164234690358599E-5</v>
      </c>
      <c r="F41" s="2">
        <v>0.99819642175476697</v>
      </c>
      <c r="G41" s="2">
        <v>-1.17723425959365E-4</v>
      </c>
    </row>
    <row r="42" spans="1:10">
      <c r="A42" s="2">
        <v>15918.331518999999</v>
      </c>
      <c r="B42" s="2">
        <v>0.99819745448723196</v>
      </c>
      <c r="C42" s="2">
        <v>2.8969901503422599E-5</v>
      </c>
      <c r="D42" s="2">
        <v>0.99819765082784195</v>
      </c>
      <c r="E42" s="2">
        <v>2.91568553434822E-5</v>
      </c>
      <c r="F42" s="2">
        <v>0.99818928924699102</v>
      </c>
      <c r="G42" s="2">
        <v>1.60042223641158E-4</v>
      </c>
    </row>
    <row r="43" spans="1:10">
      <c r="A43" s="2">
        <v>15918.331518999999</v>
      </c>
      <c r="B43" s="2">
        <v>0.99819682713639601</v>
      </c>
      <c r="C43" s="2">
        <v>2.8876538199020201E-5</v>
      </c>
      <c r="D43" s="2">
        <v>0.99819693699939205</v>
      </c>
      <c r="E43" s="2">
        <v>2.91249421565527E-5</v>
      </c>
      <c r="F43" s="2">
        <v>0.99819405371030501</v>
      </c>
      <c r="G43" s="2">
        <v>9.8504098880916399E-5</v>
      </c>
    </row>
    <row r="44" spans="1:10">
      <c r="A44" s="2">
        <v>15918.331518999999</v>
      </c>
      <c r="B44" s="2">
        <v>0.99819837532447597</v>
      </c>
      <c r="C44" s="2">
        <v>2.92077461370859E-5</v>
      </c>
      <c r="D44" s="2">
        <v>0.99819565024994705</v>
      </c>
      <c r="E44" s="2">
        <v>2.9201974827558899E-5</v>
      </c>
      <c r="F44" s="2">
        <v>0.99819835748046604</v>
      </c>
      <c r="G44" s="2">
        <v>1.13783308243333E-4</v>
      </c>
    </row>
    <row r="45" spans="1:10">
      <c r="A45" s="2" t="s">
        <v>23</v>
      </c>
      <c r="B45" s="2" t="s">
        <v>1</v>
      </c>
      <c r="C45" s="2" t="s">
        <v>2</v>
      </c>
      <c r="D45" s="2" t="s">
        <v>26</v>
      </c>
    </row>
    <row r="48" spans="1:10">
      <c r="A48" s="2" t="s">
        <v>0</v>
      </c>
      <c r="B48" s="2" t="s">
        <v>1</v>
      </c>
      <c r="C48" s="2" t="s">
        <v>2</v>
      </c>
      <c r="D48" s="2" t="s">
        <v>24</v>
      </c>
    </row>
    <row r="49" spans="1:10">
      <c r="A49" s="2" t="s">
        <v>3</v>
      </c>
      <c r="B49" s="2" t="s">
        <v>4</v>
      </c>
      <c r="C49" s="2" t="s">
        <v>2</v>
      </c>
      <c r="D49" s="2" t="s">
        <v>25</v>
      </c>
    </row>
    <row r="50" spans="1:10">
      <c r="A50" s="2" t="s">
        <v>5</v>
      </c>
      <c r="B50" s="2" t="s">
        <v>2</v>
      </c>
      <c r="C50" s="2" t="s">
        <v>6</v>
      </c>
    </row>
    <row r="51" spans="1:10">
      <c r="A51" s="2" t="s">
        <v>7</v>
      </c>
    </row>
    <row r="52" spans="1:10">
      <c r="B52" s="2" t="s">
        <v>8</v>
      </c>
      <c r="C52" s="2" t="s">
        <v>9</v>
      </c>
    </row>
    <row r="53" spans="1:10">
      <c r="B53" s="2" t="s">
        <v>10</v>
      </c>
      <c r="C53" s="2" t="s">
        <v>11</v>
      </c>
    </row>
    <row r="54" spans="1:10">
      <c r="B54" s="2" t="s">
        <v>12</v>
      </c>
      <c r="C54" s="2" t="s">
        <v>13</v>
      </c>
    </row>
    <row r="55" spans="1:10">
      <c r="B55" s="2" t="s">
        <v>14</v>
      </c>
      <c r="C55" s="2" t="s">
        <v>41</v>
      </c>
    </row>
    <row r="56" spans="1:10">
      <c r="B56" s="2" t="s">
        <v>15</v>
      </c>
      <c r="C56" s="2" t="s">
        <v>16</v>
      </c>
    </row>
    <row r="57" spans="1:10">
      <c r="B57" s="2" t="s">
        <v>17</v>
      </c>
      <c r="C57" s="2" t="s">
        <v>18</v>
      </c>
    </row>
    <row r="58" spans="1:10">
      <c r="A58" s="2" t="s">
        <v>19</v>
      </c>
    </row>
    <row r="59" spans="1:10">
      <c r="A59" s="2" t="s">
        <v>20</v>
      </c>
      <c r="B59" s="2">
        <v>5356800</v>
      </c>
      <c r="C59" s="2" t="s">
        <v>21</v>
      </c>
      <c r="D59" s="2" t="s">
        <v>22</v>
      </c>
      <c r="E59" s="2">
        <v>5395065</v>
      </c>
    </row>
    <row r="60" spans="1:10">
      <c r="A60" s="2">
        <v>15.918279</v>
      </c>
      <c r="B60" s="2">
        <v>0.99284054780695596</v>
      </c>
      <c r="C60" s="2">
        <v>-2.3770855952671701E-5</v>
      </c>
      <c r="D60" s="2">
        <v>0.99284252772302095</v>
      </c>
      <c r="E60" s="2">
        <v>-2.2632162914129401E-5</v>
      </c>
      <c r="F60" s="2">
        <v>0.99284364789245005</v>
      </c>
      <c r="G60" s="2">
        <v>-2.4542310774935801E-5</v>
      </c>
      <c r="H60" s="2">
        <f>AVERAGE(B60:B67,D60:D67)</f>
        <v>0.99284377218853126</v>
      </c>
      <c r="I60" s="2">
        <f>AVERAGE(C60:C67,E60:E67)</f>
        <v>-2.3345630757402046E-5</v>
      </c>
      <c r="J60" s="2" t="str">
        <f>CONCATENATE("""imbalanceOut"": [",H60,", ",I60,"],")</f>
        <v>"imbalanceOut": [0.992843772188531, -0.000023345630757402],</v>
      </c>
    </row>
    <row r="61" spans="1:10">
      <c r="A61" s="2">
        <v>15.918279</v>
      </c>
      <c r="B61" s="2">
        <v>0.99284430026881898</v>
      </c>
      <c r="C61" s="2">
        <v>-2.3719072452571999E-5</v>
      </c>
      <c r="D61" s="2">
        <v>0.992840025559797</v>
      </c>
      <c r="E61" s="2">
        <v>-2.29531410968043E-5</v>
      </c>
      <c r="F61" s="2">
        <v>0.992834951585294</v>
      </c>
      <c r="G61" s="2">
        <v>-2.4920388007897102E-5</v>
      </c>
    </row>
    <row r="62" spans="1:10">
      <c r="A62" s="2">
        <v>15.918279</v>
      </c>
      <c r="B62" s="2">
        <v>0.99283989095758096</v>
      </c>
      <c r="C62" s="2">
        <v>-2.4400085200336099E-5</v>
      </c>
      <c r="D62" s="2">
        <v>0.99284314540772201</v>
      </c>
      <c r="E62" s="2">
        <v>-2.3166041747616599E-5</v>
      </c>
      <c r="F62" s="2">
        <v>0.99284497003225802</v>
      </c>
      <c r="G62" s="2">
        <v>-2.4236075743239198E-5</v>
      </c>
    </row>
    <row r="63" spans="1:10">
      <c r="A63" s="2">
        <v>15.918279</v>
      </c>
      <c r="B63" s="2">
        <v>0.99284332315327395</v>
      </c>
      <c r="C63" s="2">
        <v>-2.3081051932180701E-5</v>
      </c>
      <c r="D63" s="2">
        <v>0.99284336560523101</v>
      </c>
      <c r="E63" s="2">
        <v>-2.3231759640309001E-5</v>
      </c>
      <c r="F63" s="2">
        <v>0.992849725799822</v>
      </c>
      <c r="G63" s="2">
        <v>-2.2268706013070801E-5</v>
      </c>
    </row>
    <row r="64" spans="1:10">
      <c r="A64" s="2">
        <v>15.918279</v>
      </c>
      <c r="B64" s="2">
        <v>0.99284520572039103</v>
      </c>
      <c r="C64" s="2">
        <v>-2.3197985844679699E-5</v>
      </c>
      <c r="D64" s="2">
        <v>0.99284472717956695</v>
      </c>
      <c r="E64" s="2">
        <v>-2.3665865112476699E-5</v>
      </c>
      <c r="F64" s="2">
        <v>0.99284171619056305</v>
      </c>
      <c r="G64" s="2">
        <v>-2.28635170935125E-5</v>
      </c>
    </row>
    <row r="65" spans="1:10">
      <c r="A65" s="2">
        <v>15.918279</v>
      </c>
      <c r="B65" s="2">
        <v>0.99284641808451202</v>
      </c>
      <c r="C65" s="2">
        <v>-2.40189898607471E-5</v>
      </c>
      <c r="D65" s="2">
        <v>0.99284334970135102</v>
      </c>
      <c r="E65" s="2">
        <v>-2.39299168426264E-5</v>
      </c>
      <c r="F65" s="2">
        <v>0.99282676489655797</v>
      </c>
      <c r="G65" s="2">
        <v>-2.5148250557764E-5</v>
      </c>
    </row>
    <row r="66" spans="1:10">
      <c r="A66" s="2">
        <v>15.918279</v>
      </c>
      <c r="B66" s="2">
        <v>0.99284583901523904</v>
      </c>
      <c r="C66" s="2">
        <v>-2.2151128109933799E-5</v>
      </c>
      <c r="D66" s="2">
        <v>0.99284712964515398</v>
      </c>
      <c r="E66" s="2">
        <v>-2.3838696154113899E-5</v>
      </c>
      <c r="F66" s="2">
        <v>0.99284807131602404</v>
      </c>
      <c r="G66" s="2">
        <v>-2.4588297027811E-5</v>
      </c>
    </row>
    <row r="67" spans="1:10">
      <c r="A67" s="2">
        <v>15.918279</v>
      </c>
      <c r="B67" s="2">
        <v>0.992843680353516</v>
      </c>
      <c r="C67" s="2">
        <v>-2.2902170631870899E-5</v>
      </c>
      <c r="D67" s="2">
        <v>0.99284687883437095</v>
      </c>
      <c r="E67" s="2">
        <v>-2.2871168625364399E-5</v>
      </c>
      <c r="F67" s="2">
        <v>0.99284406995232399</v>
      </c>
      <c r="G67" s="2">
        <v>-2.4104071991014199E-5</v>
      </c>
    </row>
    <row r="68" spans="1:10">
      <c r="A68" s="2">
        <v>159.18338600000001</v>
      </c>
      <c r="B68" s="2">
        <v>0.99284155279529995</v>
      </c>
      <c r="C68" s="2">
        <v>-2.2323594416224401E-4</v>
      </c>
      <c r="D68" s="2">
        <v>0.99284105807756995</v>
      </c>
      <c r="E68" s="2">
        <v>-2.2273855830470501E-4</v>
      </c>
      <c r="F68" s="2">
        <v>0.99283706689472295</v>
      </c>
      <c r="G68" s="2">
        <v>-2.22369482150102E-4</v>
      </c>
      <c r="H68" s="2">
        <f>AVERAGE(B68:B75,D68:D75)</f>
        <v>0.99284305899510095</v>
      </c>
      <c r="I68" s="2">
        <f>AVERAGE(C68:C75,E68:E75)</f>
        <v>-2.228720481440653E-4</v>
      </c>
      <c r="J68" s="2" t="str">
        <f>CONCATENATE("""imbalanceOut"": [",H68,", ",I68,"],")</f>
        <v>"imbalanceOut": [0.992843058995101, -0.000222872048144065],</v>
      </c>
    </row>
    <row r="69" spans="1:10">
      <c r="A69" s="2">
        <v>159.18338600000001</v>
      </c>
      <c r="B69" s="2">
        <v>0.99284202479226003</v>
      </c>
      <c r="C69" s="2">
        <v>-2.22701294676837E-4</v>
      </c>
      <c r="D69" s="2">
        <v>0.99284464884859103</v>
      </c>
      <c r="E69" s="2">
        <v>-2.22773524941108E-4</v>
      </c>
      <c r="F69" s="2">
        <v>0.99284717070163797</v>
      </c>
      <c r="G69" s="2">
        <v>-2.2300974332117101E-4</v>
      </c>
    </row>
    <row r="70" spans="1:10">
      <c r="A70" s="2">
        <v>159.18338600000001</v>
      </c>
      <c r="B70" s="2">
        <v>0.99284313084865194</v>
      </c>
      <c r="C70" s="2">
        <v>-2.23187084372847E-4</v>
      </c>
      <c r="D70" s="2">
        <v>0.99284451197528101</v>
      </c>
      <c r="E70" s="2">
        <v>-2.2245450683931099E-4</v>
      </c>
      <c r="F70" s="2">
        <v>0.99284910050311403</v>
      </c>
      <c r="G70" s="2">
        <v>-2.24115027202102E-4</v>
      </c>
    </row>
    <row r="71" spans="1:10">
      <c r="A71" s="2">
        <v>159.18338600000001</v>
      </c>
      <c r="B71" s="2">
        <v>0.99284021353074303</v>
      </c>
      <c r="C71" s="2">
        <v>-2.2301680835069699E-4</v>
      </c>
      <c r="D71" s="2">
        <v>0.99284466222584</v>
      </c>
      <c r="E71" s="2">
        <v>-2.2328079209115299E-4</v>
      </c>
      <c r="F71" s="2">
        <v>0.99285349895108599</v>
      </c>
      <c r="G71" s="2">
        <v>-2.2401465529462301E-4</v>
      </c>
    </row>
    <row r="72" spans="1:10">
      <c r="A72" s="2">
        <v>159.18338600000001</v>
      </c>
      <c r="B72" s="2">
        <v>0.99284437683612004</v>
      </c>
      <c r="C72" s="2">
        <v>-2.2291516543358701E-4</v>
      </c>
      <c r="D72" s="2">
        <v>0.99284348306348402</v>
      </c>
      <c r="E72" s="2">
        <v>-2.2262741568749699E-4</v>
      </c>
      <c r="F72" s="2">
        <v>0.99284122807265995</v>
      </c>
      <c r="G72" s="2">
        <v>-2.2332729744280199E-4</v>
      </c>
    </row>
    <row r="73" spans="1:10">
      <c r="A73" s="2">
        <v>159.18338600000001</v>
      </c>
      <c r="B73" s="2">
        <v>0.99284213149065703</v>
      </c>
      <c r="C73" s="2">
        <v>-2.2266429556458699E-4</v>
      </c>
      <c r="D73" s="2">
        <v>0.99284574491978295</v>
      </c>
      <c r="E73" s="2">
        <v>-2.2241097232587E-4</v>
      </c>
      <c r="F73" s="2">
        <v>0.99283919241697405</v>
      </c>
      <c r="G73" s="2">
        <v>-2.2182135189791299E-4</v>
      </c>
    </row>
    <row r="74" spans="1:10">
      <c r="A74" s="2">
        <v>159.18338600000001</v>
      </c>
      <c r="B74" s="2">
        <v>0.99284417500780997</v>
      </c>
      <c r="C74" s="2">
        <v>-2.22895742431468E-4</v>
      </c>
      <c r="D74" s="2">
        <v>0.99284315346548302</v>
      </c>
      <c r="E74" s="2">
        <v>-2.2312624602397699E-4</v>
      </c>
      <c r="F74" s="2">
        <v>0.99283347010885203</v>
      </c>
      <c r="G74" s="2">
        <v>-2.2133696749042901E-4</v>
      </c>
    </row>
    <row r="75" spans="1:10">
      <c r="A75" s="2">
        <v>159.18338600000001</v>
      </c>
      <c r="B75" s="2">
        <v>0.99283989474659695</v>
      </c>
      <c r="C75" s="2">
        <v>-2.2313492958870001E-4</v>
      </c>
      <c r="D75" s="2">
        <v>0.99284418129744301</v>
      </c>
      <c r="E75" s="2">
        <v>-2.22789489510457E-4</v>
      </c>
      <c r="F75" s="2">
        <v>0.99283747017784196</v>
      </c>
      <c r="G75" s="2">
        <v>-2.2313607730698099E-4</v>
      </c>
    </row>
    <row r="76" spans="1:10">
      <c r="A76" s="2">
        <v>1591.630257</v>
      </c>
      <c r="B76" s="2">
        <v>0.99255690415642495</v>
      </c>
      <c r="C76" s="2">
        <v>-2.1901187032582099E-3</v>
      </c>
      <c r="D76" s="2">
        <v>0.99255657315137702</v>
      </c>
      <c r="E76" s="2">
        <v>-2.1902990525559398E-3</v>
      </c>
      <c r="F76" s="2">
        <v>0.99255117743078103</v>
      </c>
      <c r="G76" s="2">
        <v>-2.1798577400134501E-3</v>
      </c>
      <c r="H76" s="2">
        <f>AVERAGE(B76:B83,D76:D83)</f>
        <v>0.9925538856974685</v>
      </c>
      <c r="I76" s="2">
        <f>AVERAGE(C76:C83,E76:E83)</f>
        <v>-2.1900606765024432E-3</v>
      </c>
      <c r="J76" s="2" t="str">
        <f>CONCATENATE("""imbalanceOut"": [",H76,", ",I76,"],")</f>
        <v>"imbalanceOut": [0.992553885697468, -0.00219006067650244],</v>
      </c>
    </row>
    <row r="77" spans="1:10">
      <c r="A77" s="2">
        <v>1591.630257</v>
      </c>
      <c r="B77" s="2">
        <v>0.99255269047206496</v>
      </c>
      <c r="C77" s="2">
        <v>-2.1905210033731099E-3</v>
      </c>
      <c r="D77" s="2">
        <v>0.99255319998615099</v>
      </c>
      <c r="E77" s="2">
        <v>-2.19014936901316E-3</v>
      </c>
      <c r="F77" s="2">
        <v>0.99256515046059102</v>
      </c>
      <c r="G77" s="2">
        <v>-2.1876049984867999E-3</v>
      </c>
    </row>
    <row r="78" spans="1:10">
      <c r="A78" s="2">
        <v>1591.630257</v>
      </c>
      <c r="B78" s="2">
        <v>0.99255421808867705</v>
      </c>
      <c r="C78" s="2">
        <v>-2.1905816602138099E-3</v>
      </c>
      <c r="D78" s="2">
        <v>0.99255348410973099</v>
      </c>
      <c r="E78" s="2">
        <v>-2.1903725861304401E-3</v>
      </c>
      <c r="F78" s="2">
        <v>0.99255984359687599</v>
      </c>
      <c r="G78" s="2">
        <v>-2.1899841617127099E-3</v>
      </c>
    </row>
    <row r="79" spans="1:10">
      <c r="A79" s="2">
        <v>1591.630257</v>
      </c>
      <c r="B79" s="2">
        <v>0.99255473180324305</v>
      </c>
      <c r="C79" s="2">
        <v>-2.1901538946766902E-3</v>
      </c>
      <c r="D79" s="2">
        <v>0.99255490063055196</v>
      </c>
      <c r="E79" s="2">
        <v>-2.18961855991745E-3</v>
      </c>
      <c r="F79" s="2">
        <v>0.99254441650743397</v>
      </c>
      <c r="G79" s="2">
        <v>-2.1810380142527901E-3</v>
      </c>
    </row>
    <row r="80" spans="1:10">
      <c r="A80" s="2">
        <v>1591.630257</v>
      </c>
      <c r="B80" s="2">
        <v>0.99255428447780303</v>
      </c>
      <c r="C80" s="2">
        <v>-2.1897700799996E-3</v>
      </c>
      <c r="D80" s="2">
        <v>0.99255406642104205</v>
      </c>
      <c r="E80" s="2">
        <v>-2.1901320236878798E-3</v>
      </c>
      <c r="F80" s="2">
        <v>0.99255934971545501</v>
      </c>
      <c r="G80" s="2">
        <v>-2.1877908356680298E-3</v>
      </c>
    </row>
    <row r="81" spans="1:10">
      <c r="A81" s="2">
        <v>1591.630257</v>
      </c>
      <c r="B81" s="2">
        <v>0.99255402569448004</v>
      </c>
      <c r="C81" s="2">
        <v>-2.1900640956209801E-3</v>
      </c>
      <c r="D81" s="2">
        <v>0.99255356046160104</v>
      </c>
      <c r="E81" s="2">
        <v>-2.1903972281383799E-3</v>
      </c>
      <c r="F81" s="2">
        <v>0.99255668349979498</v>
      </c>
      <c r="G81" s="2">
        <v>-2.2002818263469298E-3</v>
      </c>
    </row>
    <row r="82" spans="1:10">
      <c r="A82" s="2">
        <v>1591.630257</v>
      </c>
      <c r="B82" s="2">
        <v>0.992552822104667</v>
      </c>
      <c r="C82" s="2">
        <v>-2.1898864726078702E-3</v>
      </c>
      <c r="D82" s="2">
        <v>0.99255241171559405</v>
      </c>
      <c r="E82" s="2">
        <v>-2.1897677925562099E-3</v>
      </c>
      <c r="F82" s="2">
        <v>0.99256392603057897</v>
      </c>
      <c r="G82" s="2">
        <v>-2.1947765817907599E-3</v>
      </c>
    </row>
    <row r="83" spans="1:10">
      <c r="A83" s="2">
        <v>1591.630257</v>
      </c>
      <c r="B83" s="2">
        <v>0.99255339445744195</v>
      </c>
      <c r="C83" s="2">
        <v>-2.1896762703185598E-3</v>
      </c>
      <c r="D83" s="2">
        <v>0.99255090342864505</v>
      </c>
      <c r="E83" s="2">
        <v>-2.1894620319708102E-3</v>
      </c>
      <c r="F83" s="2">
        <v>0.99253858786194105</v>
      </c>
      <c r="G83" s="2">
        <v>-2.1752072571484802E-3</v>
      </c>
    </row>
    <row r="84" spans="1:10">
      <c r="A84" s="2">
        <v>15918.331518999999</v>
      </c>
      <c r="B84" s="2">
        <v>0.98134282044488297</v>
      </c>
      <c r="C84" s="2">
        <v>-8.1420165775273907E-3</v>
      </c>
      <c r="D84" s="2">
        <v>0.98134296395118104</v>
      </c>
      <c r="E84" s="2">
        <v>-8.1419658409610501E-3</v>
      </c>
      <c r="F84" s="2">
        <v>0.98133619162576002</v>
      </c>
      <c r="G84" s="2">
        <v>-8.1629384335767993E-3</v>
      </c>
      <c r="H84" s="2">
        <f>AVERAGE(B84:B91,D84:D91)</f>
        <v>0.98134170044773417</v>
      </c>
      <c r="I84" s="2">
        <f>AVERAGE(C84:C91,E84:E91)</f>
        <v>-8.1436037998027407E-3</v>
      </c>
      <c r="J84" s="2" t="str">
        <f>CONCATENATE("""imbalanceOut"": [",H84,", ",I84,"],")</f>
        <v>"imbalanceOut": [0.981341700447734, -0.00814360379980274],</v>
      </c>
    </row>
    <row r="85" spans="1:10">
      <c r="A85" s="2">
        <v>15918.331518999999</v>
      </c>
      <c r="B85" s="2">
        <v>0.98134149864208597</v>
      </c>
      <c r="C85" s="2">
        <v>-8.1424982927816598E-3</v>
      </c>
      <c r="D85" s="2">
        <v>0.98134362719179802</v>
      </c>
      <c r="E85" s="2">
        <v>-8.1428044395759607E-3</v>
      </c>
      <c r="F85" s="2">
        <v>0.98134095077311201</v>
      </c>
      <c r="G85" s="2">
        <v>-8.1492266941496604E-3</v>
      </c>
    </row>
    <row r="86" spans="1:10">
      <c r="A86" s="2">
        <v>15918.331518999999</v>
      </c>
      <c r="B86" s="2">
        <v>0.98134336445723902</v>
      </c>
      <c r="C86" s="2">
        <v>-8.1431962398414506E-3</v>
      </c>
      <c r="D86" s="2">
        <v>0.98134206507269395</v>
      </c>
      <c r="E86" s="2">
        <v>-8.1433919485928204E-3</v>
      </c>
      <c r="F86" s="2">
        <v>0.98133106692569005</v>
      </c>
      <c r="G86" s="2">
        <v>-8.0871594814448406E-3</v>
      </c>
    </row>
    <row r="87" spans="1:10">
      <c r="A87" s="2">
        <v>15918.331518999999</v>
      </c>
      <c r="B87" s="2">
        <v>0.98133997819774099</v>
      </c>
      <c r="C87" s="2">
        <v>-8.1430759050768499E-3</v>
      </c>
      <c r="D87" s="2">
        <v>0.981340506128211</v>
      </c>
      <c r="E87" s="2">
        <v>-8.1445515919262596E-3</v>
      </c>
      <c r="F87" s="2">
        <v>0.98135480074751102</v>
      </c>
      <c r="G87" s="2">
        <v>-8.0512853592130795E-3</v>
      </c>
    </row>
    <row r="88" spans="1:10">
      <c r="A88" s="2">
        <v>15918.331518999999</v>
      </c>
      <c r="B88" s="2">
        <v>0.98134350206059495</v>
      </c>
      <c r="C88" s="2">
        <v>-8.1442413824745E-3</v>
      </c>
      <c r="D88" s="2">
        <v>0.98134178511569303</v>
      </c>
      <c r="E88" s="2">
        <v>-8.1452230115676601E-3</v>
      </c>
      <c r="F88" s="2">
        <v>0.98135147332182004</v>
      </c>
      <c r="G88" s="2">
        <v>-8.0283324943557794E-3</v>
      </c>
    </row>
    <row r="89" spans="1:10">
      <c r="A89" s="2">
        <v>15918.331518999999</v>
      </c>
      <c r="B89" s="2">
        <v>0.98133986377576898</v>
      </c>
      <c r="C89" s="2">
        <v>-8.1439285858857097E-3</v>
      </c>
      <c r="D89" s="2">
        <v>0.98133963862235996</v>
      </c>
      <c r="E89" s="2">
        <v>-8.1449614710803597E-3</v>
      </c>
      <c r="F89" s="2">
        <v>0.98134969606123601</v>
      </c>
      <c r="G89" s="2">
        <v>-8.0998600918294594E-3</v>
      </c>
    </row>
    <row r="90" spans="1:10">
      <c r="A90" s="2">
        <v>15918.331518999999</v>
      </c>
      <c r="B90" s="2">
        <v>0.98134077370676398</v>
      </c>
      <c r="C90" s="2">
        <v>-8.1441295287327901E-3</v>
      </c>
      <c r="D90" s="2">
        <v>0.98134156407107997</v>
      </c>
      <c r="E90" s="2">
        <v>-8.14475250448626E-3</v>
      </c>
      <c r="F90" s="2">
        <v>0.98133975225180203</v>
      </c>
      <c r="G90" s="2">
        <v>-8.2876860309811003E-3</v>
      </c>
    </row>
    <row r="91" spans="1:10">
      <c r="A91" s="2">
        <v>15918.331518999999</v>
      </c>
      <c r="B91" s="2">
        <v>0.98134092157062003</v>
      </c>
      <c r="C91" s="2">
        <v>-8.14383196744611E-3</v>
      </c>
      <c r="D91" s="2">
        <v>0.98134233415503203</v>
      </c>
      <c r="E91" s="2">
        <v>-8.1430915088870105E-3</v>
      </c>
      <c r="F91" s="2">
        <v>0.98134632293220503</v>
      </c>
      <c r="G91" s="2">
        <v>-8.1430995698985598E-3</v>
      </c>
    </row>
    <row r="92" spans="1:10">
      <c r="A92" s="2" t="s">
        <v>23</v>
      </c>
      <c r="B92" s="2" t="s">
        <v>1</v>
      </c>
      <c r="C92" s="2" t="s">
        <v>2</v>
      </c>
      <c r="D92" s="2" t="s">
        <v>26</v>
      </c>
    </row>
    <row r="96" spans="1:10">
      <c r="B96" s="2" t="s">
        <v>0</v>
      </c>
      <c r="C96" s="2" t="s">
        <v>1</v>
      </c>
      <c r="D96" s="2" t="s">
        <v>2</v>
      </c>
      <c r="E96" s="2" t="s">
        <v>24</v>
      </c>
    </row>
    <row r="97" spans="2:8">
      <c r="B97" s="2" t="s">
        <v>3</v>
      </c>
      <c r="C97" s="2" t="s">
        <v>4</v>
      </c>
      <c r="D97" s="2" t="s">
        <v>2</v>
      </c>
      <c r="E97" s="2" t="s">
        <v>25</v>
      </c>
    </row>
    <row r="98" spans="2:8">
      <c r="B98" s="2" t="s">
        <v>5</v>
      </c>
      <c r="C98" s="2" t="s">
        <v>2</v>
      </c>
      <c r="D98" s="2" t="s">
        <v>6</v>
      </c>
    </row>
    <row r="99" spans="2:8">
      <c r="B99" s="2" t="s">
        <v>7</v>
      </c>
    </row>
    <row r="100" spans="2:8">
      <c r="C100" s="2" t="s">
        <v>8</v>
      </c>
      <c r="D100" s="2" t="s">
        <v>9</v>
      </c>
    </row>
    <row r="101" spans="2:8">
      <c r="C101" s="2" t="s">
        <v>10</v>
      </c>
      <c r="D101" s="2" t="s">
        <v>11</v>
      </c>
    </row>
    <row r="102" spans="2:8">
      <c r="C102" s="2" t="s">
        <v>12</v>
      </c>
      <c r="D102" s="2" t="s">
        <v>13</v>
      </c>
    </row>
    <row r="103" spans="2:8">
      <c r="C103" s="2" t="s">
        <v>14</v>
      </c>
      <c r="D103" s="2" t="s">
        <v>42</v>
      </c>
    </row>
    <row r="104" spans="2:8">
      <c r="C104" s="2" t="s">
        <v>15</v>
      </c>
      <c r="D104" s="2" t="s">
        <v>16</v>
      </c>
    </row>
    <row r="105" spans="2:8">
      <c r="C105" s="2" t="s">
        <v>17</v>
      </c>
      <c r="D105" s="2" t="s">
        <v>18</v>
      </c>
    </row>
    <row r="106" spans="2:8">
      <c r="B106" s="2" t="s">
        <v>19</v>
      </c>
    </row>
    <row r="107" spans="2:8">
      <c r="B107" s="2" t="s">
        <v>20</v>
      </c>
      <c r="C107" s="2">
        <v>5356800</v>
      </c>
      <c r="D107" s="2" t="s">
        <v>21</v>
      </c>
      <c r="E107" s="2" t="s">
        <v>22</v>
      </c>
      <c r="F107" s="2">
        <v>5377356</v>
      </c>
    </row>
    <row r="108" spans="2:8">
      <c r="B108" s="2">
        <v>15.918279</v>
      </c>
      <c r="C108" s="2">
        <v>1.0000045309446599</v>
      </c>
      <c r="D108" s="2">
        <v>-1.74690106555156E-6</v>
      </c>
      <c r="E108" s="2">
        <v>1.00000478529951</v>
      </c>
      <c r="F108" s="2">
        <v>-1.9567379557770201E-6</v>
      </c>
      <c r="G108" s="2">
        <v>0.99999567766139297</v>
      </c>
      <c r="H108" s="2">
        <v>3.39095512452987E-6</v>
      </c>
    </row>
    <row r="109" spans="2:8">
      <c r="B109" s="2">
        <v>15.918279</v>
      </c>
      <c r="C109" s="2">
        <v>1.00000253614001</v>
      </c>
      <c r="D109" s="2">
        <v>-5.8160685691913796E-7</v>
      </c>
      <c r="E109" s="2">
        <v>1.00000224902861</v>
      </c>
      <c r="F109" s="2">
        <v>-2.0737184936841199E-6</v>
      </c>
      <c r="G109" s="2">
        <v>0.99999555109953997</v>
      </c>
      <c r="H109" s="2">
        <v>-1.4970924497403901E-6</v>
      </c>
    </row>
    <row r="110" spans="2:8">
      <c r="B110" s="2">
        <v>15.918279</v>
      </c>
      <c r="C110" s="2">
        <v>0.99999496786272302</v>
      </c>
      <c r="D110" s="2">
        <v>-1.2092982299298999E-6</v>
      </c>
      <c r="E110" s="2">
        <v>1.00000267334564</v>
      </c>
      <c r="F110" s="2">
        <v>-2.0780753418098599E-6</v>
      </c>
      <c r="G110" s="2">
        <v>1.0000033949078699</v>
      </c>
      <c r="H110" s="2">
        <v>-4.6645361822363098E-7</v>
      </c>
    </row>
    <row r="111" spans="2:8">
      <c r="B111" s="2">
        <v>15.918279</v>
      </c>
      <c r="C111" s="2">
        <v>1.0000011917253799</v>
      </c>
      <c r="D111" s="2">
        <v>-8.4627783866917797E-7</v>
      </c>
      <c r="E111" s="2">
        <v>1.0000006232122201</v>
      </c>
      <c r="F111" s="2">
        <v>-1.2043739045216599E-6</v>
      </c>
      <c r="G111" s="2">
        <v>0.99999876230198204</v>
      </c>
      <c r="H111" s="2">
        <v>1.36016982489378E-6</v>
      </c>
    </row>
    <row r="112" spans="2:8">
      <c r="B112" s="2">
        <v>15.918279</v>
      </c>
      <c r="C112" s="2">
        <v>0.99999845979248003</v>
      </c>
      <c r="D112" s="2">
        <v>-1.1108047537859E-6</v>
      </c>
      <c r="E112" s="2">
        <v>1.0000004790588699</v>
      </c>
      <c r="F112" s="2">
        <v>-3.5449945867728399E-7</v>
      </c>
      <c r="G112" s="2">
        <v>1.0000016708380099</v>
      </c>
      <c r="H112" s="2">
        <v>-2.1428872385908401E-6</v>
      </c>
    </row>
    <row r="113" spans="2:8">
      <c r="B113" s="2">
        <v>15.918279</v>
      </c>
      <c r="C113" s="2">
        <v>1.00000285135403</v>
      </c>
      <c r="D113" s="2">
        <v>-8.5782468491168098E-7</v>
      </c>
      <c r="E113" s="2">
        <v>0.99999998854998196</v>
      </c>
      <c r="F113" s="2">
        <v>-7.5258679814422205E-7</v>
      </c>
      <c r="G113" s="2">
        <v>0.99999434570845402</v>
      </c>
      <c r="H113" s="2">
        <v>-1.55755770049785E-6</v>
      </c>
    </row>
    <row r="114" spans="2:8">
      <c r="B114" s="2">
        <v>15.918279</v>
      </c>
      <c r="C114" s="2">
        <v>1.00000002299185</v>
      </c>
      <c r="D114" s="2">
        <v>-6.94294541373502E-7</v>
      </c>
      <c r="E114" s="2">
        <v>0.99999849660596596</v>
      </c>
      <c r="F114" s="2">
        <v>-9.5538273684595409E-7</v>
      </c>
      <c r="G114" s="2">
        <v>1.00000094625245</v>
      </c>
      <c r="H114" s="2">
        <v>-1.16122116976669E-6</v>
      </c>
    </row>
    <row r="115" spans="2:8">
      <c r="B115" s="2">
        <v>15.918279</v>
      </c>
      <c r="C115" s="2">
        <v>1.0000011735769201</v>
      </c>
      <c r="D115" s="2">
        <v>-1.2941556880293601E-6</v>
      </c>
      <c r="E115" s="2">
        <v>0.999998155517136</v>
      </c>
      <c r="F115" s="2">
        <v>-2.3558193125597501E-7</v>
      </c>
      <c r="G115" s="2">
        <v>1.0000061841471299</v>
      </c>
      <c r="H115" s="2">
        <v>-1.0282602023693E-6</v>
      </c>
    </row>
    <row r="116" spans="2:8">
      <c r="B116" s="2">
        <v>159.18338600000001</v>
      </c>
      <c r="C116" s="2">
        <v>0.999998166203943</v>
      </c>
      <c r="D116" s="2">
        <v>-2.45960189010284E-7</v>
      </c>
      <c r="E116" s="2">
        <v>0.99999981914959402</v>
      </c>
      <c r="F116" s="2">
        <v>-2.2583277778637299E-7</v>
      </c>
      <c r="G116" s="2">
        <v>0.99998803102131695</v>
      </c>
      <c r="H116" s="2">
        <v>-5.5791868971364804E-7</v>
      </c>
    </row>
    <row r="117" spans="2:8">
      <c r="B117" s="2">
        <v>159.18338600000001</v>
      </c>
      <c r="C117" s="2">
        <v>0.999996989867038</v>
      </c>
      <c r="D117" s="2">
        <v>-6.4076602818268402E-7</v>
      </c>
      <c r="E117" s="2">
        <v>0.999993708973135</v>
      </c>
      <c r="F117" s="2">
        <v>-5.2418822140697904E-7</v>
      </c>
      <c r="G117" s="2">
        <v>0.99999162705559197</v>
      </c>
      <c r="H117" s="2">
        <v>-8.1290327545088104E-7</v>
      </c>
    </row>
    <row r="118" spans="2:8">
      <c r="B118" s="2">
        <v>159.18338600000001</v>
      </c>
      <c r="C118" s="2">
        <v>0.99999508157022299</v>
      </c>
      <c r="D118" s="2">
        <v>-1.5932562811383801E-7</v>
      </c>
      <c r="E118" s="2">
        <v>0.99999677495918404</v>
      </c>
      <c r="F118" s="2">
        <v>7.2214788392394895E-8</v>
      </c>
      <c r="G118" s="2">
        <v>0.99999813208861998</v>
      </c>
      <c r="H118" s="2">
        <v>1.15383091836987E-7</v>
      </c>
    </row>
    <row r="119" spans="2:8">
      <c r="B119" s="2">
        <v>159.18338600000001</v>
      </c>
      <c r="C119" s="2">
        <v>0.99999464664507998</v>
      </c>
      <c r="D119" s="2">
        <v>5.9240392133326E-7</v>
      </c>
      <c r="E119" s="2">
        <v>0.99999419488920904</v>
      </c>
      <c r="F119" s="2">
        <v>-9.1794262119305602E-8</v>
      </c>
      <c r="G119" s="2">
        <v>1.0000018884383399</v>
      </c>
      <c r="H119" s="2">
        <v>-1.61419762814688E-7</v>
      </c>
    </row>
    <row r="120" spans="2:8">
      <c r="B120" s="2">
        <v>159.18338600000001</v>
      </c>
      <c r="C120" s="2">
        <v>0.999994730495952</v>
      </c>
      <c r="D120" s="2">
        <v>1.2654795922524299E-7</v>
      </c>
      <c r="E120" s="2">
        <v>0.99999851772816395</v>
      </c>
      <c r="F120" s="2">
        <v>8.3836280645482695E-8</v>
      </c>
      <c r="G120" s="2">
        <v>0.99999845523504105</v>
      </c>
      <c r="H120" s="2">
        <v>1.37560329573485E-6</v>
      </c>
    </row>
    <row r="121" spans="2:8">
      <c r="B121" s="2">
        <v>159.18338600000001</v>
      </c>
      <c r="C121" s="2">
        <v>0.99999967198133999</v>
      </c>
      <c r="D121" s="2">
        <v>2.26701988514055E-7</v>
      </c>
      <c r="E121" s="2">
        <v>0.99999867823600197</v>
      </c>
      <c r="F121" s="2">
        <v>-9.8797750353139102E-8</v>
      </c>
      <c r="G121" s="2">
        <v>0.99998652975049795</v>
      </c>
      <c r="H121" s="2">
        <v>-2.20115094913705E-6</v>
      </c>
    </row>
    <row r="122" spans="2:8">
      <c r="B122" s="2">
        <v>159.18338600000001</v>
      </c>
      <c r="C122" s="2">
        <v>0.99999653568949698</v>
      </c>
      <c r="D122" s="2">
        <v>2.3922038509906798E-7</v>
      </c>
      <c r="E122" s="2">
        <v>0.99999888408545901</v>
      </c>
      <c r="F122" s="2">
        <v>7.5442304445218704E-7</v>
      </c>
      <c r="G122" s="2">
        <v>1.00004536459032</v>
      </c>
      <c r="H122" s="2">
        <v>6.6099820144852601E-7</v>
      </c>
    </row>
    <row r="123" spans="2:8">
      <c r="B123" s="2">
        <v>159.18338600000001</v>
      </c>
      <c r="C123" s="2">
        <v>0.99999933575984401</v>
      </c>
      <c r="D123" s="2">
        <v>-8.1927433236266102E-8</v>
      </c>
      <c r="E123" s="2">
        <v>1.00000186968935</v>
      </c>
      <c r="F123" s="2">
        <v>4.1182860201844998E-7</v>
      </c>
      <c r="G123" s="2">
        <v>0.99999238448565997</v>
      </c>
      <c r="H123" s="2">
        <v>5.6980090098491097E-7</v>
      </c>
    </row>
    <row r="124" spans="2:8">
      <c r="B124" s="2">
        <v>1591.630257</v>
      </c>
      <c r="C124" s="2">
        <v>1.0000034363777</v>
      </c>
      <c r="D124" s="2">
        <v>6.6662588523248395E-7</v>
      </c>
      <c r="E124" s="2">
        <v>0.99999939659610604</v>
      </c>
      <c r="F124" s="2">
        <v>7.2450845702021601E-7</v>
      </c>
      <c r="G124" s="2">
        <v>0.99999847708826295</v>
      </c>
      <c r="H124" s="2">
        <v>4.0724133729238597E-6</v>
      </c>
    </row>
    <row r="125" spans="2:8">
      <c r="B125" s="2">
        <v>1591.630257</v>
      </c>
      <c r="C125" s="2">
        <v>1.00000123285985</v>
      </c>
      <c r="D125" s="2">
        <v>7.3763111977862196E-7</v>
      </c>
      <c r="E125" s="2">
        <v>1.00000371602077</v>
      </c>
      <c r="F125" s="2">
        <v>3.3732143383581099E-7</v>
      </c>
      <c r="G125" s="2">
        <v>1.0000101385739399</v>
      </c>
      <c r="H125" s="2">
        <v>1.3613736553727599E-5</v>
      </c>
    </row>
    <row r="126" spans="2:8">
      <c r="B126" s="2">
        <v>1591.630257</v>
      </c>
      <c r="C126" s="2">
        <v>0.999999630041709</v>
      </c>
      <c r="D126" s="2">
        <v>9.8215139652506299E-7</v>
      </c>
      <c r="E126" s="2">
        <v>0.99999950464766796</v>
      </c>
      <c r="F126" s="2">
        <v>5.5620172083655204E-7</v>
      </c>
      <c r="G126" s="2">
        <v>1.0000021178092899</v>
      </c>
      <c r="H126" s="2">
        <v>-1.62568296642686E-5</v>
      </c>
    </row>
    <row r="127" spans="2:8">
      <c r="B127" s="2">
        <v>1591.630257</v>
      </c>
      <c r="C127" s="2">
        <v>0.99999867960428401</v>
      </c>
      <c r="D127" s="2">
        <v>6.9168098047175301E-7</v>
      </c>
      <c r="E127" s="2">
        <v>0.99999811013782003</v>
      </c>
      <c r="F127" s="2">
        <v>6.1651330219299298E-7</v>
      </c>
      <c r="G127" s="2">
        <v>0.99999944312645905</v>
      </c>
      <c r="H127" s="2">
        <v>-8.5732800539239606E-6</v>
      </c>
    </row>
    <row r="128" spans="2:8">
      <c r="B128" s="2">
        <v>1591.630257</v>
      </c>
      <c r="C128" s="2">
        <v>0.99999928124829296</v>
      </c>
      <c r="D128" s="2">
        <v>5.4114921571053095E-7</v>
      </c>
      <c r="E128" s="2">
        <v>0.99999659324361001</v>
      </c>
      <c r="F128" s="2">
        <v>7.9757715558862705E-7</v>
      </c>
      <c r="G128" s="2">
        <v>0.99999569122634602</v>
      </c>
      <c r="H128" s="2">
        <v>1.85901406394455E-5</v>
      </c>
    </row>
    <row r="129" spans="2:8">
      <c r="B129" s="2">
        <v>1591.630257</v>
      </c>
      <c r="C129" s="2">
        <v>0.99999540265569398</v>
      </c>
      <c r="D129" s="2">
        <v>7.6807436820402598E-7</v>
      </c>
      <c r="E129" s="2">
        <v>0.99999696567111196</v>
      </c>
      <c r="F129" s="2">
        <v>1.2311450389137801E-6</v>
      </c>
      <c r="G129" s="2">
        <v>0.99999075430023898</v>
      </c>
      <c r="H129" s="2">
        <v>2.7622862743844401E-5</v>
      </c>
    </row>
    <row r="130" spans="2:8">
      <c r="B130" s="2">
        <v>1591.630257</v>
      </c>
      <c r="C130" s="2">
        <v>0.99999850636040699</v>
      </c>
      <c r="D130" s="2">
        <v>9.2261056353517199E-7</v>
      </c>
      <c r="E130" s="2">
        <v>0.99999834276643096</v>
      </c>
      <c r="F130" s="2">
        <v>9.2085359706222798E-7</v>
      </c>
      <c r="G130" s="2">
        <v>0.99999096410089805</v>
      </c>
      <c r="H130" s="2">
        <v>-1.9823775225108299E-5</v>
      </c>
    </row>
    <row r="131" spans="2:8">
      <c r="B131" s="2">
        <v>1591.630257</v>
      </c>
      <c r="C131" s="2">
        <v>0.99999821707190295</v>
      </c>
      <c r="D131" s="2">
        <v>-9.0245615205799101E-8</v>
      </c>
      <c r="E131" s="2">
        <v>0.99999954499241095</v>
      </c>
      <c r="F131" s="2">
        <v>3.9939389041952701E-7</v>
      </c>
      <c r="G131" s="2">
        <v>0.99999158907109598</v>
      </c>
      <c r="H131" s="2">
        <v>-5.9570374283974803E-7</v>
      </c>
    </row>
    <row r="132" spans="2:8">
      <c r="B132" s="2">
        <v>15918.331518999999</v>
      </c>
      <c r="C132" s="2">
        <v>1.0000031262979501</v>
      </c>
      <c r="D132" s="2">
        <v>-1.2129403329433301E-6</v>
      </c>
      <c r="E132" s="2">
        <v>1.0000020981640501</v>
      </c>
      <c r="F132" s="2">
        <v>-1.47191858292649E-6</v>
      </c>
      <c r="G132" s="2">
        <v>1.00000155867028</v>
      </c>
      <c r="H132" s="2">
        <v>-1.5389571254931599E-4</v>
      </c>
    </row>
    <row r="133" spans="2:8">
      <c r="B133" s="2">
        <v>15918.331518999999</v>
      </c>
      <c r="C133" s="2">
        <v>1.0000023339208799</v>
      </c>
      <c r="D133" s="2">
        <v>-1.4384983219987899E-6</v>
      </c>
      <c r="E133" s="2">
        <v>1.0000035524428801</v>
      </c>
      <c r="F133" s="2">
        <v>-7.7594725773684303E-7</v>
      </c>
      <c r="G133" s="2">
        <v>1.0000062430901999</v>
      </c>
      <c r="H133" s="2">
        <v>-1.21417038477456E-4</v>
      </c>
    </row>
    <row r="134" spans="2:8">
      <c r="B134" s="2">
        <v>15918.331518999999</v>
      </c>
      <c r="C134" s="2">
        <v>1.0000029124337799</v>
      </c>
      <c r="D134" s="2">
        <v>-1.5954895150935499E-6</v>
      </c>
      <c r="E134" s="2">
        <v>0.99999864203502697</v>
      </c>
      <c r="F134" s="2">
        <v>-1.4060961022767801E-6</v>
      </c>
      <c r="G134" s="2">
        <v>1.0000140183863999</v>
      </c>
      <c r="H134" s="2">
        <v>3.8619588675199499E-5</v>
      </c>
    </row>
    <row r="135" spans="2:8">
      <c r="B135" s="2">
        <v>15918.331518999999</v>
      </c>
      <c r="C135" s="2">
        <v>1.0000015344323101</v>
      </c>
      <c r="D135" s="2">
        <v>-1.1272094905667001E-6</v>
      </c>
      <c r="E135" s="2">
        <v>1.00000178719751</v>
      </c>
      <c r="F135" s="2">
        <v>-6.7688728368325898E-7</v>
      </c>
      <c r="G135" s="2">
        <v>1.0000105211088699</v>
      </c>
      <c r="H135" s="2">
        <v>1.07047972301679E-4</v>
      </c>
    </row>
    <row r="136" spans="2:8">
      <c r="B136" s="2">
        <v>15918.331518999999</v>
      </c>
      <c r="C136" s="2">
        <v>1.00000405047871</v>
      </c>
      <c r="D136" s="2">
        <v>2.52081558369822E-7</v>
      </c>
      <c r="E136" s="2">
        <v>1.0000051105107399</v>
      </c>
      <c r="F136" s="2">
        <v>-4.5242414286452901E-7</v>
      </c>
      <c r="G136" s="2">
        <v>1.00000676898154</v>
      </c>
      <c r="H136" s="2">
        <v>-1.13272085734304E-4</v>
      </c>
    </row>
    <row r="137" spans="2:8">
      <c r="B137" s="2">
        <v>15918.331518999999</v>
      </c>
      <c r="C137" s="2">
        <v>1.0000037858673001</v>
      </c>
      <c r="D137" s="2">
        <v>-5.8960408470547302E-7</v>
      </c>
      <c r="E137" s="2">
        <v>1.00000452835202</v>
      </c>
      <c r="F137" s="2">
        <v>2.7451475383722401E-8</v>
      </c>
      <c r="G137" s="2">
        <v>1.0000170209568899</v>
      </c>
      <c r="H137" s="2">
        <v>8.6443964651950305E-5</v>
      </c>
    </row>
    <row r="138" spans="2:8">
      <c r="B138" s="2">
        <v>15918.331518999999</v>
      </c>
      <c r="C138" s="2">
        <v>1.0000015856000399</v>
      </c>
      <c r="D138" s="2">
        <v>-1.10132779390708E-6</v>
      </c>
      <c r="E138" s="2">
        <v>0.99999891659694196</v>
      </c>
      <c r="F138" s="2">
        <v>-1.0059690592884599E-6</v>
      </c>
      <c r="G138" s="2">
        <v>1.0000202356039101</v>
      </c>
      <c r="H138" s="2">
        <v>1.01616477070808E-4</v>
      </c>
    </row>
    <row r="139" spans="2:8">
      <c r="B139" s="2">
        <v>15918.331518999999</v>
      </c>
      <c r="C139" s="2">
        <v>1.0000012683060899</v>
      </c>
      <c r="D139" s="2">
        <v>-1.5555711005679701E-6</v>
      </c>
      <c r="E139" s="2">
        <v>1.00000188755008</v>
      </c>
      <c r="F139" s="2">
        <v>-2.61922860153816E-6</v>
      </c>
      <c r="G139" s="2">
        <v>0.99999984516691198</v>
      </c>
      <c r="H139" s="2">
        <v>-2.8207659497833398E-5</v>
      </c>
    </row>
    <row r="140" spans="2:8">
      <c r="B140" s="2" t="s">
        <v>23</v>
      </c>
      <c r="C140" s="2" t="s">
        <v>1</v>
      </c>
      <c r="D140" s="2" t="s">
        <v>2</v>
      </c>
      <c r="E140" s="2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4"/>
  <sheetViews>
    <sheetView topLeftCell="A105" workbookViewId="0">
      <selection activeCell="B147" sqref="B147"/>
    </sheetView>
  </sheetViews>
  <sheetFormatPr baseColWidth="10" defaultColWidth="30.5" defaultRowHeight="15" x14ac:dyDescent="0"/>
  <cols>
    <col min="1" max="16384" width="30.5" style="2"/>
  </cols>
  <sheetData>
    <row r="1" spans="1:9">
      <c r="A1" s="2" t="s">
        <v>0</v>
      </c>
      <c r="B1" s="2" t="s">
        <v>1</v>
      </c>
      <c r="C1" s="2" t="s">
        <v>2</v>
      </c>
      <c r="D1" s="2" t="s">
        <v>24</v>
      </c>
    </row>
    <row r="2" spans="1:9">
      <c r="A2" s="2" t="s">
        <v>3</v>
      </c>
      <c r="B2" s="2" t="s">
        <v>4</v>
      </c>
      <c r="C2" s="2" t="s">
        <v>2</v>
      </c>
      <c r="D2" s="2" t="s">
        <v>25</v>
      </c>
    </row>
    <row r="3" spans="1:9">
      <c r="A3" s="2" t="s">
        <v>5</v>
      </c>
      <c r="B3" s="2" t="s">
        <v>2</v>
      </c>
      <c r="C3" s="2" t="s">
        <v>6</v>
      </c>
    </row>
    <row r="4" spans="1:9">
      <c r="A4" s="2" t="s">
        <v>7</v>
      </c>
    </row>
    <row r="5" spans="1:9">
      <c r="B5" s="2" t="s">
        <v>8</v>
      </c>
      <c r="C5" s="2" t="s">
        <v>9</v>
      </c>
      <c r="D5" s="3" t="s">
        <v>49</v>
      </c>
    </row>
    <row r="6" spans="1:9">
      <c r="B6" s="2" t="s">
        <v>10</v>
      </c>
      <c r="C6" s="2" t="s">
        <v>11</v>
      </c>
    </row>
    <row r="7" spans="1:9">
      <c r="B7" s="2" t="s">
        <v>12</v>
      </c>
      <c r="C7" s="2" t="s">
        <v>13</v>
      </c>
    </row>
    <row r="8" spans="1:9">
      <c r="B8" s="2" t="s">
        <v>14</v>
      </c>
      <c r="C8" s="2" t="s">
        <v>43</v>
      </c>
    </row>
    <row r="9" spans="1:9">
      <c r="B9" s="2" t="s">
        <v>15</v>
      </c>
      <c r="C9" s="2" t="s">
        <v>16</v>
      </c>
    </row>
    <row r="10" spans="1:9">
      <c r="B10" s="2" t="s">
        <v>17</v>
      </c>
      <c r="C10" s="2" t="s">
        <v>18</v>
      </c>
    </row>
    <row r="11" spans="1:9">
      <c r="A11" s="2" t="s">
        <v>19</v>
      </c>
      <c r="I11" s="2" t="s">
        <v>53</v>
      </c>
    </row>
    <row r="12" spans="1:9">
      <c r="A12" s="2" t="s">
        <v>20</v>
      </c>
      <c r="B12" s="2">
        <v>3348000</v>
      </c>
      <c r="C12" s="2" t="s">
        <v>21</v>
      </c>
      <c r="D12" s="2" t="s">
        <v>22</v>
      </c>
      <c r="E12" s="2">
        <v>3407872</v>
      </c>
      <c r="I12" s="2" t="s">
        <v>54</v>
      </c>
    </row>
    <row r="13" spans="1:9">
      <c r="A13" s="2">
        <v>15.918279</v>
      </c>
      <c r="B13" s="2" t="s">
        <v>44</v>
      </c>
      <c r="C13" s="2">
        <v>1.0523371283872101</v>
      </c>
      <c r="D13" s="2">
        <v>-6.4776945663586397E-2</v>
      </c>
      <c r="E13" s="2">
        <v>-6.4765613800052695E-4</v>
      </c>
      <c r="F13" s="2">
        <v>-5.2327972703959495E-4</v>
      </c>
      <c r="I13" s="2">
        <f>F50/F13</f>
        <v>3.9899868386490289</v>
      </c>
    </row>
    <row r="14" spans="1:9">
      <c r="A14" s="2">
        <v>15.918279</v>
      </c>
      <c r="B14" s="2" t="s">
        <v>44</v>
      </c>
      <c r="C14" s="2">
        <v>1.05233326299631</v>
      </c>
      <c r="D14" s="2">
        <v>-6.4777715607348602E-2</v>
      </c>
      <c r="E14" s="2">
        <v>-6.4766383609123502E-4</v>
      </c>
      <c r="F14" s="2">
        <v>-5.2324107989264396E-4</v>
      </c>
      <c r="I14" s="2">
        <f t="shared" ref="I14:I32" si="0">F51/F14</f>
        <v>3.9903441463174247</v>
      </c>
    </row>
    <row r="15" spans="1:9">
      <c r="A15" s="2">
        <v>15.918279</v>
      </c>
      <c r="B15" s="2" t="s">
        <v>44</v>
      </c>
      <c r="C15" s="2">
        <v>1.05232929932251</v>
      </c>
      <c r="D15" s="2">
        <v>-6.4779070736885103E-2</v>
      </c>
      <c r="E15" s="2">
        <v>-6.4767738501598203E-4</v>
      </c>
      <c r="F15" s="2">
        <v>-5.23201450088493E-4</v>
      </c>
      <c r="I15" s="2">
        <f t="shared" si="0"/>
        <v>3.9907064001536123</v>
      </c>
    </row>
    <row r="16" spans="1:9">
      <c r="A16" s="2">
        <v>15.918279</v>
      </c>
      <c r="B16" s="2" t="s">
        <v>44</v>
      </c>
      <c r="C16" s="2">
        <v>1.05233021732743</v>
      </c>
      <c r="D16" s="2">
        <v>-6.4779052761664999E-2</v>
      </c>
      <c r="E16" s="2">
        <v>-6.4767720529522595E-4</v>
      </c>
      <c r="F16" s="2">
        <v>-5.2321062853182704E-4</v>
      </c>
      <c r="I16" s="2">
        <f t="shared" si="0"/>
        <v>3.9908186632760354</v>
      </c>
    </row>
    <row r="17" spans="1:9">
      <c r="A17" s="2">
        <v>15.918279</v>
      </c>
      <c r="B17" s="2" t="s">
        <v>44</v>
      </c>
      <c r="C17" s="2">
        <v>1.05233881633978</v>
      </c>
      <c r="D17" s="2">
        <v>-6.4779954803491496E-2</v>
      </c>
      <c r="E17" s="2">
        <v>-6.47686224135489E-4</v>
      </c>
      <c r="F17" s="2">
        <v>-5.2329660361244705E-4</v>
      </c>
      <c r="G17" s="2" t="s">
        <v>30</v>
      </c>
      <c r="H17" s="2" t="s">
        <v>32</v>
      </c>
      <c r="I17" s="2">
        <f t="shared" si="0"/>
        <v>3.9898892679528903</v>
      </c>
    </row>
    <row r="18" spans="1:9">
      <c r="A18" s="2">
        <v>159.18338600000001</v>
      </c>
      <c r="B18" s="2" t="s">
        <v>45</v>
      </c>
      <c r="C18" s="2">
        <v>1.00531088165345</v>
      </c>
      <c r="D18" s="2">
        <v>2.2919412466758798E-2</v>
      </c>
      <c r="E18" s="2">
        <v>2.2915317223159701E-5</v>
      </c>
      <c r="F18" s="2">
        <v>-5.3099327044301198E-6</v>
      </c>
      <c r="G18" s="2">
        <v>14900000</v>
      </c>
      <c r="H18" s="2">
        <f>E18/G18</f>
        <v>1.5379407532321948E-12</v>
      </c>
      <c r="I18" s="2">
        <f t="shared" si="0"/>
        <v>29.1357186289226</v>
      </c>
    </row>
    <row r="19" spans="1:9">
      <c r="A19" s="2">
        <v>159.18338600000001</v>
      </c>
      <c r="B19" s="2" t="s">
        <v>45</v>
      </c>
      <c r="C19" s="2">
        <v>1.0053165159377699</v>
      </c>
      <c r="D19" s="2">
        <v>2.2919326353510901E-2</v>
      </c>
      <c r="E19" s="2">
        <v>2.2915231125298499E-5</v>
      </c>
      <c r="F19" s="2">
        <v>-5.3155659820134602E-6</v>
      </c>
      <c r="G19" s="2">
        <v>14900000</v>
      </c>
      <c r="H19" s="2">
        <f t="shared" ref="H19:H32" si="1">E19/G19</f>
        <v>1.5379349748522482E-12</v>
      </c>
      <c r="I19" s="2">
        <f t="shared" si="0"/>
        <v>29.104295031572093</v>
      </c>
    </row>
    <row r="20" spans="1:9">
      <c r="A20" s="2">
        <v>159.18338600000001</v>
      </c>
      <c r="B20" s="2" t="s">
        <v>45</v>
      </c>
      <c r="C20" s="2">
        <v>1.0053178053289999</v>
      </c>
      <c r="D20" s="2">
        <v>2.2918129120947501E-2</v>
      </c>
      <c r="E20" s="2">
        <v>2.2914034106656801E-5</v>
      </c>
      <c r="F20" s="2">
        <v>-5.3168551428546503E-6</v>
      </c>
      <c r="G20" s="2">
        <v>14900000</v>
      </c>
      <c r="H20" s="2">
        <f t="shared" si="1"/>
        <v>1.5378546380306578E-12</v>
      </c>
      <c r="I20" s="2">
        <f t="shared" si="0"/>
        <v>29.095108388286771</v>
      </c>
    </row>
    <row r="21" spans="1:9">
      <c r="A21" s="2">
        <v>159.18338600000001</v>
      </c>
      <c r="B21" s="2" t="s">
        <v>45</v>
      </c>
      <c r="C21" s="2">
        <v>1.0053108654940499</v>
      </c>
      <c r="D21" s="2">
        <v>2.29164677285408E-2</v>
      </c>
      <c r="E21" s="2">
        <v>2.2912373011107801E-5</v>
      </c>
      <c r="F21" s="2">
        <v>-5.3099165479209999E-6</v>
      </c>
      <c r="G21" s="2">
        <v>14900000</v>
      </c>
      <c r="H21" s="2">
        <f t="shared" si="1"/>
        <v>1.5377431551079062E-12</v>
      </c>
      <c r="I21" s="2">
        <f t="shared" si="0"/>
        <v>29.134215242821099</v>
      </c>
    </row>
    <row r="22" spans="1:9">
      <c r="A22" s="2">
        <v>159.18338600000001</v>
      </c>
      <c r="B22" s="2" t="s">
        <v>45</v>
      </c>
      <c r="C22" s="2">
        <v>1.00530357902333</v>
      </c>
      <c r="D22" s="2">
        <v>2.2919018747522901E-2</v>
      </c>
      <c r="E22" s="2">
        <v>2.2914923574273599E-5</v>
      </c>
      <c r="F22" s="2">
        <v>-5.3026313791437401E-6</v>
      </c>
      <c r="G22" s="2">
        <v>14900000</v>
      </c>
      <c r="H22" s="2">
        <f t="shared" si="1"/>
        <v>1.5379143338438657E-12</v>
      </c>
      <c r="I22" s="2">
        <f t="shared" si="0"/>
        <v>29.17851893499099</v>
      </c>
    </row>
    <row r="23" spans="1:9">
      <c r="A23" s="2">
        <v>1591.630257</v>
      </c>
      <c r="B23" s="2" t="s">
        <v>46</v>
      </c>
      <c r="C23" s="2">
        <v>1.01099289674489</v>
      </c>
      <c r="D23" s="2">
        <v>0.33170167832208097</v>
      </c>
      <c r="E23" s="2">
        <v>3.31684833865514E-5</v>
      </c>
      <c r="F23" s="2">
        <v>-1.09923385042156E-6</v>
      </c>
      <c r="G23" s="2">
        <v>14900000</v>
      </c>
      <c r="H23" s="2">
        <f t="shared" si="1"/>
        <v>2.2260727105068053E-12</v>
      </c>
      <c r="I23" s="2">
        <f t="shared" si="0"/>
        <v>14.615848716290389</v>
      </c>
    </row>
    <row r="24" spans="1:9">
      <c r="A24" s="2">
        <v>1591.630257</v>
      </c>
      <c r="B24" s="2" t="s">
        <v>46</v>
      </c>
      <c r="C24" s="2">
        <v>1.0110014512432499</v>
      </c>
      <c r="D24" s="2">
        <v>0.33173040080933602</v>
      </c>
      <c r="E24" s="2">
        <v>3.3171355489418499E-5</v>
      </c>
      <c r="F24" s="2">
        <v>-1.10008925681534E-6</v>
      </c>
      <c r="G24" s="2">
        <v>14900000</v>
      </c>
      <c r="H24" s="2">
        <f t="shared" si="1"/>
        <v>2.2262654690884897E-12</v>
      </c>
      <c r="I24" s="2">
        <f t="shared" si="0"/>
        <v>14.604074739612413</v>
      </c>
    </row>
    <row r="25" spans="1:9">
      <c r="A25" s="2">
        <v>1591.630257</v>
      </c>
      <c r="B25" s="2" t="s">
        <v>46</v>
      </c>
      <c r="C25" s="2">
        <v>1.0109904061416299</v>
      </c>
      <c r="D25" s="2">
        <v>0.33173882296829799</v>
      </c>
      <c r="E25" s="2">
        <v>3.3172197662545301E-5</v>
      </c>
      <c r="F25" s="2">
        <v>-1.09898480274279E-6</v>
      </c>
      <c r="G25" s="2">
        <v>14900000</v>
      </c>
      <c r="H25" s="2">
        <f t="shared" si="1"/>
        <v>2.2263219907748526E-12</v>
      </c>
      <c r="I25" s="2">
        <f t="shared" si="0"/>
        <v>14.619479882499045</v>
      </c>
    </row>
    <row r="26" spans="1:9">
      <c r="A26" s="2">
        <v>1591.630257</v>
      </c>
      <c r="B26" s="2" t="s">
        <v>46</v>
      </c>
      <c r="C26" s="2">
        <v>1.01099297605393</v>
      </c>
      <c r="D26" s="2">
        <v>0.331741837759915</v>
      </c>
      <c r="E26" s="2">
        <v>3.3172499126397399E-5</v>
      </c>
      <c r="F26" s="2">
        <v>-1.09924178092257E-6</v>
      </c>
      <c r="G26" s="2">
        <v>14900000</v>
      </c>
      <c r="H26" s="2">
        <f t="shared" si="1"/>
        <v>2.2263422232481474E-12</v>
      </c>
      <c r="I26" s="2">
        <f t="shared" si="0"/>
        <v>14.615168150009623</v>
      </c>
    </row>
    <row r="27" spans="1:9">
      <c r="A27" s="2">
        <v>1591.630257</v>
      </c>
      <c r="B27" s="2" t="s">
        <v>46</v>
      </c>
      <c r="C27" s="2">
        <v>1.01099752709443</v>
      </c>
      <c r="D27" s="2">
        <v>0.33173445911416799</v>
      </c>
      <c r="E27" s="2">
        <v>3.3171761299292803E-5</v>
      </c>
      <c r="F27" s="2">
        <v>-1.0996968618614299E-6</v>
      </c>
      <c r="G27" s="2">
        <v>14900000</v>
      </c>
      <c r="H27" s="2">
        <f t="shared" si="1"/>
        <v>2.2262927046505238E-12</v>
      </c>
      <c r="I27" s="2">
        <f t="shared" si="0"/>
        <v>14.609684536068054</v>
      </c>
    </row>
    <row r="28" spans="1:9">
      <c r="A28" s="2">
        <v>15918.331518999999</v>
      </c>
      <c r="B28" s="2" t="s">
        <v>47</v>
      </c>
      <c r="C28" s="2">
        <v>1.6088139281454099</v>
      </c>
      <c r="D28" s="2">
        <v>3.1969412718485799</v>
      </c>
      <c r="E28" s="2">
        <v>3.19637146381756E-5</v>
      </c>
      <c r="F28" s="2">
        <v>-6.0870541596575601E-6</v>
      </c>
      <c r="G28" s="2">
        <v>14900000</v>
      </c>
      <c r="H28" s="2">
        <f t="shared" si="1"/>
        <v>2.1452157475285637E-12</v>
      </c>
      <c r="I28" s="2">
        <f t="shared" si="0"/>
        <v>1.3108065085682041</v>
      </c>
    </row>
    <row r="29" spans="1:9">
      <c r="A29" s="2">
        <v>15918.331518999999</v>
      </c>
      <c r="B29" s="2" t="s">
        <v>47</v>
      </c>
      <c r="C29" s="2">
        <v>1.6087577660171399</v>
      </c>
      <c r="D29" s="2">
        <v>3.19788872509158</v>
      </c>
      <c r="E29" s="2">
        <v>3.1973187481908803E-5</v>
      </c>
      <c r="F29" s="2">
        <v>-6.0864926384755902E-6</v>
      </c>
      <c r="G29" s="2">
        <v>14900000</v>
      </c>
      <c r="H29" s="2">
        <f t="shared" si="1"/>
        <v>2.1458515088529399E-12</v>
      </c>
      <c r="I29" s="2">
        <f t="shared" si="0"/>
        <v>1.3117759047404869</v>
      </c>
    </row>
    <row r="30" spans="1:9">
      <c r="A30" s="2">
        <v>15918.331518999999</v>
      </c>
      <c r="B30" s="2" t="s">
        <v>47</v>
      </c>
      <c r="C30" s="2">
        <v>1.60905776071253</v>
      </c>
      <c r="D30" s="2">
        <v>3.1986137036931899</v>
      </c>
      <c r="E30" s="2">
        <v>3.1980435975756502E-5</v>
      </c>
      <c r="F30" s="2">
        <v>-6.0894920507328204E-6</v>
      </c>
      <c r="G30" s="2">
        <v>14900000</v>
      </c>
      <c r="H30" s="2">
        <f t="shared" si="1"/>
        <v>2.146337984950101E-12</v>
      </c>
      <c r="I30" s="2">
        <f t="shared" si="0"/>
        <v>1.3101259998004076</v>
      </c>
    </row>
    <row r="31" spans="1:9">
      <c r="A31" s="2">
        <v>15918.331518999999</v>
      </c>
      <c r="B31" s="2" t="s">
        <v>47</v>
      </c>
      <c r="C31" s="2">
        <v>1.60909960420238</v>
      </c>
      <c r="D31" s="2">
        <v>3.1991508815424101</v>
      </c>
      <c r="E31" s="2">
        <v>3.1985806796807699E-5</v>
      </c>
      <c r="F31" s="2">
        <v>-6.0899104110514798E-6</v>
      </c>
      <c r="G31" s="2">
        <v>14900000</v>
      </c>
      <c r="H31" s="2">
        <f t="shared" si="1"/>
        <v>2.1466984427387719E-12</v>
      </c>
      <c r="I31" s="2">
        <f t="shared" si="0"/>
        <v>1.3100593727281875</v>
      </c>
    </row>
    <row r="32" spans="1:9">
      <c r="A32" s="2">
        <v>15918.331518999999</v>
      </c>
      <c r="B32" s="2" t="s">
        <v>47</v>
      </c>
      <c r="C32" s="2">
        <v>1.60882464349439</v>
      </c>
      <c r="D32" s="2">
        <v>3.19969530903942</v>
      </c>
      <c r="E32" s="2">
        <v>3.19912501014154E-5</v>
      </c>
      <c r="F32" s="2">
        <v>-6.0871612940488199E-6</v>
      </c>
      <c r="G32" s="2">
        <v>14900000</v>
      </c>
      <c r="H32" s="2">
        <f t="shared" si="1"/>
        <v>2.1470637651956646E-12</v>
      </c>
      <c r="I32" s="2">
        <f t="shared" si="0"/>
        <v>1.3111187845682755</v>
      </c>
    </row>
    <row r="33" spans="1:4">
      <c r="A33" s="2" t="s">
        <v>23</v>
      </c>
      <c r="B33" s="2" t="s">
        <v>1</v>
      </c>
      <c r="C33" s="2" t="s">
        <v>2</v>
      </c>
      <c r="D33" s="2" t="s">
        <v>26</v>
      </c>
    </row>
    <row r="38" spans="1:4">
      <c r="A38" s="2" t="s">
        <v>0</v>
      </c>
      <c r="B38" s="2" t="s">
        <v>1</v>
      </c>
      <c r="C38" s="2" t="s">
        <v>2</v>
      </c>
      <c r="D38" s="2" t="s">
        <v>24</v>
      </c>
    </row>
    <row r="39" spans="1:4">
      <c r="A39" s="2" t="s">
        <v>3</v>
      </c>
      <c r="B39" s="2" t="s">
        <v>4</v>
      </c>
      <c r="C39" s="2" t="s">
        <v>2</v>
      </c>
      <c r="D39" s="2" t="s">
        <v>25</v>
      </c>
    </row>
    <row r="40" spans="1:4">
      <c r="A40" s="2" t="s">
        <v>5</v>
      </c>
      <c r="B40" s="2" t="s">
        <v>2</v>
      </c>
      <c r="C40" s="2" t="s">
        <v>6</v>
      </c>
    </row>
    <row r="41" spans="1:4">
      <c r="A41" s="2" t="s">
        <v>7</v>
      </c>
    </row>
    <row r="42" spans="1:4">
      <c r="B42" s="2" t="s">
        <v>8</v>
      </c>
      <c r="C42" s="2" t="s">
        <v>9</v>
      </c>
    </row>
    <row r="43" spans="1:4">
      <c r="B43" s="2" t="s">
        <v>10</v>
      </c>
      <c r="C43" s="2" t="s">
        <v>11</v>
      </c>
    </row>
    <row r="44" spans="1:4">
      <c r="B44" s="2" t="s">
        <v>12</v>
      </c>
      <c r="C44" s="2" t="s">
        <v>13</v>
      </c>
      <c r="D44" s="3" t="s">
        <v>50</v>
      </c>
    </row>
    <row r="45" spans="1:4">
      <c r="B45" s="2" t="s">
        <v>14</v>
      </c>
      <c r="C45" s="2" t="s">
        <v>48</v>
      </c>
    </row>
    <row r="46" spans="1:4">
      <c r="B46" s="2" t="s">
        <v>15</v>
      </c>
      <c r="C46" s="2" t="s">
        <v>16</v>
      </c>
    </row>
    <row r="47" spans="1:4">
      <c r="B47" s="2" t="s">
        <v>17</v>
      </c>
      <c r="C47" s="2" t="s">
        <v>18</v>
      </c>
    </row>
    <row r="48" spans="1:4">
      <c r="A48" s="2" t="s">
        <v>19</v>
      </c>
    </row>
    <row r="49" spans="1:9">
      <c r="A49" s="2" t="s">
        <v>20</v>
      </c>
      <c r="B49" s="2">
        <v>3348000</v>
      </c>
      <c r="C49" s="2" t="s">
        <v>21</v>
      </c>
      <c r="D49" s="2" t="s">
        <v>22</v>
      </c>
      <c r="E49" s="2">
        <v>3506374</v>
      </c>
    </row>
    <row r="50" spans="1:9">
      <c r="A50" s="2">
        <v>15.918279</v>
      </c>
      <c r="B50" s="2" t="s">
        <v>44</v>
      </c>
      <c r="C50" s="2">
        <v>1.20882445343766</v>
      </c>
      <c r="D50" s="2">
        <v>-7.4813100545727595E-2</v>
      </c>
      <c r="E50" s="2">
        <v>-7.4800012990622496E-4</v>
      </c>
      <c r="F50" s="2">
        <v>-2.0878792238198402E-3</v>
      </c>
    </row>
    <row r="51" spans="1:9">
      <c r="A51" s="2">
        <v>15.918279</v>
      </c>
      <c r="B51" s="2" t="s">
        <v>44</v>
      </c>
      <c r="C51" s="2">
        <v>1.20882772965505</v>
      </c>
      <c r="D51" s="2">
        <v>-7.4810237378947694E-2</v>
      </c>
      <c r="E51" s="2">
        <v>-7.4797150324715396E-4</v>
      </c>
      <c r="F51" s="2">
        <v>-2.0879119802624199E-3</v>
      </c>
    </row>
    <row r="52" spans="1:9">
      <c r="A52" s="2">
        <v>15.918279</v>
      </c>
      <c r="B52" s="2" t="s">
        <v>44</v>
      </c>
      <c r="C52" s="2">
        <v>1.2088308697218999</v>
      </c>
      <c r="D52" s="2">
        <v>-7.4810960488255696E-2</v>
      </c>
      <c r="E52" s="2">
        <v>-7.4797873307525095E-4</v>
      </c>
      <c r="F52" s="2">
        <v>-2.0879433754377999E-3</v>
      </c>
    </row>
    <row r="53" spans="1:9">
      <c r="A53" s="2">
        <v>15.918279</v>
      </c>
      <c r="B53" s="2" t="s">
        <v>44</v>
      </c>
      <c r="C53" s="2">
        <v>1.2088404079636299</v>
      </c>
      <c r="D53" s="2">
        <v>-7.4809655787701906E-2</v>
      </c>
      <c r="E53" s="2">
        <v>-7.4796568835211203E-4</v>
      </c>
      <c r="F53" s="2">
        <v>-2.0880387411692002E-3</v>
      </c>
    </row>
    <row r="54" spans="1:9">
      <c r="A54" s="2">
        <v>15.918279</v>
      </c>
      <c r="B54" s="2" t="s">
        <v>44</v>
      </c>
      <c r="C54" s="2">
        <v>1.20882608161145</v>
      </c>
      <c r="D54" s="2">
        <v>-7.4811956339669805E-2</v>
      </c>
      <c r="E54" s="2">
        <v>-7.4798868984728205E-4</v>
      </c>
      <c r="F54" s="2">
        <v>-2.0878955027095001E-3</v>
      </c>
      <c r="G54" s="2" t="s">
        <v>30</v>
      </c>
      <c r="H54" s="2" t="s">
        <v>32</v>
      </c>
    </row>
    <row r="55" spans="1:9">
      <c r="A55" s="2">
        <v>159.18338600000001</v>
      </c>
      <c r="B55" s="2" t="s">
        <v>45</v>
      </c>
      <c r="C55" s="2">
        <v>1.15473635352655</v>
      </c>
      <c r="D55" s="2">
        <v>2.34466172939083E-2</v>
      </c>
      <c r="E55" s="2">
        <v>2.3442427849282099E-5</v>
      </c>
      <c r="F55" s="2">
        <v>-1.5470870521479E-4</v>
      </c>
      <c r="G55" s="2">
        <v>14900000</v>
      </c>
      <c r="H55" s="2">
        <f>E55/G55</f>
        <v>1.5733173053209462E-12</v>
      </c>
      <c r="I55" s="2">
        <f>H55*1000000000000</f>
        <v>1.5733173053209462</v>
      </c>
    </row>
    <row r="56" spans="1:9">
      <c r="A56" s="2">
        <v>159.18338600000001</v>
      </c>
      <c r="B56" s="2" t="s">
        <v>45</v>
      </c>
      <c r="C56" s="2">
        <v>1.1547334483929801</v>
      </c>
      <c r="D56" s="2">
        <v>2.34473223622884E-2</v>
      </c>
      <c r="E56" s="2">
        <v>2.34431327916805E-5</v>
      </c>
      <c r="F56" s="2">
        <v>-1.5470580060030799E-4</v>
      </c>
      <c r="G56" s="2">
        <v>14900000</v>
      </c>
      <c r="H56" s="2">
        <f t="shared" ref="H56:H69" si="2">E56/G56</f>
        <v>1.5733646168913087E-12</v>
      </c>
      <c r="I56" s="2">
        <f t="shared" ref="I56:I69" si="3">H56*1000000000000</f>
        <v>1.5733646168913087</v>
      </c>
    </row>
    <row r="57" spans="1:9">
      <c r="A57" s="2">
        <v>159.18338600000001</v>
      </c>
      <c r="B57" s="2" t="s">
        <v>45</v>
      </c>
      <c r="C57" s="2">
        <v>1.1547221224351201</v>
      </c>
      <c r="D57" s="2">
        <v>2.3443301964604799E-2</v>
      </c>
      <c r="E57" s="2">
        <v>2.3439113112362E-5</v>
      </c>
      <c r="F57" s="2">
        <v>-1.5469447666617599E-4</v>
      </c>
      <c r="G57" s="2">
        <v>14900000</v>
      </c>
      <c r="H57" s="2">
        <f t="shared" si="2"/>
        <v>1.5730948397558389E-12</v>
      </c>
      <c r="I57" s="2">
        <f t="shared" si="3"/>
        <v>1.5730948397558389</v>
      </c>
    </row>
    <row r="58" spans="1:9">
      <c r="A58" s="2">
        <v>159.18338600000001</v>
      </c>
      <c r="B58" s="2" t="s">
        <v>45</v>
      </c>
      <c r="C58" s="2">
        <v>1.1547278984295499</v>
      </c>
      <c r="D58" s="2">
        <v>2.34500926604564E-2</v>
      </c>
      <c r="E58" s="2">
        <v>2.3445902594851199E-5</v>
      </c>
      <c r="F58" s="2">
        <v>-1.5470025162854799E-4</v>
      </c>
      <c r="G58" s="2">
        <v>14900000</v>
      </c>
      <c r="H58" s="2">
        <f t="shared" si="2"/>
        <v>1.5735505097215571E-12</v>
      </c>
      <c r="I58" s="2">
        <f t="shared" si="3"/>
        <v>1.573550509721557</v>
      </c>
    </row>
    <row r="59" spans="1:9">
      <c r="A59" s="2">
        <v>159.18338600000001</v>
      </c>
      <c r="B59" s="2" t="s">
        <v>45</v>
      </c>
      <c r="C59" s="2">
        <v>1.1547505809555401</v>
      </c>
      <c r="D59" s="2">
        <v>2.3448378845036599E-2</v>
      </c>
      <c r="E59" s="2">
        <v>2.3444189085656202E-5</v>
      </c>
      <c r="F59" s="2">
        <v>-1.5472293010162301E-4</v>
      </c>
      <c r="G59" s="2">
        <v>14900000</v>
      </c>
      <c r="H59" s="2">
        <f t="shared" si="2"/>
        <v>1.573435509104443E-12</v>
      </c>
      <c r="I59" s="2">
        <f t="shared" si="3"/>
        <v>1.573435509104443</v>
      </c>
    </row>
    <row r="60" spans="1:9">
      <c r="A60" s="2">
        <v>1591.630257</v>
      </c>
      <c r="B60" s="2" t="s">
        <v>46</v>
      </c>
      <c r="C60" s="2">
        <v>1.1606705157772499</v>
      </c>
      <c r="D60" s="2">
        <v>0.35255289077018798</v>
      </c>
      <c r="E60" s="2">
        <v>3.5253498744848598E-5</v>
      </c>
      <c r="F60" s="2">
        <v>-1.6066235661586899E-5</v>
      </c>
      <c r="G60" s="2">
        <v>14900000</v>
      </c>
      <c r="H60" s="2">
        <f t="shared" si="2"/>
        <v>2.366006627171047E-12</v>
      </c>
      <c r="I60" s="2">
        <f t="shared" si="3"/>
        <v>2.3660066271710471</v>
      </c>
    </row>
    <row r="61" spans="1:9">
      <c r="A61" s="2">
        <v>1591.630257</v>
      </c>
      <c r="B61" s="2" t="s">
        <v>46</v>
      </c>
      <c r="C61" s="2">
        <v>1.1606660162006399</v>
      </c>
      <c r="D61" s="2">
        <v>0.35253625689571899</v>
      </c>
      <c r="E61" s="2">
        <v>3.5251835441871701E-5</v>
      </c>
      <c r="F61" s="2">
        <v>-1.6065785726775899E-5</v>
      </c>
      <c r="G61" s="2">
        <v>14900000</v>
      </c>
      <c r="H61" s="2">
        <f t="shared" si="2"/>
        <v>2.3658949960987717E-12</v>
      </c>
      <c r="I61" s="2">
        <f t="shared" si="3"/>
        <v>2.3658949960987719</v>
      </c>
    </row>
    <row r="62" spans="1:9">
      <c r="A62" s="2">
        <v>1591.630257</v>
      </c>
      <c r="B62" s="2" t="s">
        <v>46</v>
      </c>
      <c r="C62" s="2">
        <v>1.1606740214881099</v>
      </c>
      <c r="D62" s="2">
        <v>0.35254890756724999</v>
      </c>
      <c r="E62" s="2">
        <v>3.5253100444782201E-5</v>
      </c>
      <c r="F62" s="2">
        <v>-1.60665862148704E-5</v>
      </c>
      <c r="G62" s="2">
        <v>14900000</v>
      </c>
      <c r="H62" s="2">
        <f t="shared" si="2"/>
        <v>2.3659798956229664E-12</v>
      </c>
      <c r="I62" s="2">
        <f t="shared" si="3"/>
        <v>2.3659798956229663</v>
      </c>
    </row>
    <row r="63" spans="1:9">
      <c r="A63" s="2">
        <v>1591.630257</v>
      </c>
      <c r="B63" s="2" t="s">
        <v>46</v>
      </c>
      <c r="C63" s="2">
        <v>1.1606641934973201</v>
      </c>
      <c r="D63" s="2">
        <v>0.35256486984830099</v>
      </c>
      <c r="E63" s="2">
        <v>3.5254696591827797E-5</v>
      </c>
      <c r="F63" s="2">
        <v>-1.6065603465699401E-5</v>
      </c>
      <c r="G63" s="2">
        <v>14900000</v>
      </c>
      <c r="H63" s="2">
        <f t="shared" si="2"/>
        <v>2.3660870195857583E-12</v>
      </c>
      <c r="I63" s="2">
        <f t="shared" si="3"/>
        <v>2.3660870195857582</v>
      </c>
    </row>
    <row r="64" spans="1:9">
      <c r="A64" s="2">
        <v>1591.630257</v>
      </c>
      <c r="B64" s="2" t="s">
        <v>46</v>
      </c>
      <c r="C64" s="2">
        <v>1.1606704015265701</v>
      </c>
      <c r="D64" s="2">
        <v>0.35256400738754801</v>
      </c>
      <c r="E64" s="2">
        <v>3.5254610350132202E-5</v>
      </c>
      <c r="F64" s="2">
        <v>-1.6066224237099499E-5</v>
      </c>
      <c r="G64" s="2">
        <v>14900000</v>
      </c>
      <c r="H64" s="2">
        <f t="shared" si="2"/>
        <v>2.3660812315524969E-12</v>
      </c>
      <c r="I64" s="2">
        <f t="shared" si="3"/>
        <v>2.3660812315524971</v>
      </c>
    </row>
    <row r="65" spans="1:9">
      <c r="A65" s="2">
        <v>15918.331518999999</v>
      </c>
      <c r="B65" s="2" t="s">
        <v>47</v>
      </c>
      <c r="C65" s="2">
        <v>1.7980372595199801</v>
      </c>
      <c r="D65" s="2">
        <v>3.3984760264771698</v>
      </c>
      <c r="E65" s="2">
        <v>3.3978702978232902E-5</v>
      </c>
      <c r="F65" s="2">
        <v>-7.9789502104862907E-6</v>
      </c>
      <c r="G65" s="2">
        <v>14900000</v>
      </c>
      <c r="H65" s="2">
        <f t="shared" si="2"/>
        <v>2.280449864310933E-12</v>
      </c>
      <c r="I65" s="2">
        <f t="shared" si="3"/>
        <v>2.280449864310933</v>
      </c>
    </row>
    <row r="66" spans="1:9">
      <c r="A66" s="2">
        <v>15918.331518999999</v>
      </c>
      <c r="B66" s="2" t="s">
        <v>47</v>
      </c>
      <c r="C66" s="2">
        <v>1.79855376928493</v>
      </c>
      <c r="D66" s="2">
        <v>3.3991295781190001</v>
      </c>
      <c r="E66" s="2">
        <v>3.3985237329791101E-5</v>
      </c>
      <c r="F66" s="2">
        <v>-7.9841143875326305E-6</v>
      </c>
      <c r="G66" s="2">
        <v>14900000</v>
      </c>
      <c r="H66" s="2">
        <f t="shared" si="2"/>
        <v>2.2808884113953761E-12</v>
      </c>
      <c r="I66" s="2">
        <f t="shared" si="3"/>
        <v>2.280888411395376</v>
      </c>
    </row>
    <row r="67" spans="1:9">
      <c r="A67" s="2">
        <v>15918.331518999999</v>
      </c>
      <c r="B67" s="2" t="s">
        <v>47</v>
      </c>
      <c r="C67" s="2">
        <v>1.7979424076896999</v>
      </c>
      <c r="D67" s="2">
        <v>3.39996516048729</v>
      </c>
      <c r="E67" s="2">
        <v>3.3993591664170597E-5</v>
      </c>
      <c r="F67" s="2">
        <v>-7.9780018612429701E-6</v>
      </c>
      <c r="G67" s="2">
        <v>14900000</v>
      </c>
      <c r="H67" s="2">
        <f t="shared" si="2"/>
        <v>2.2814491049778926E-12</v>
      </c>
      <c r="I67" s="2">
        <f t="shared" si="3"/>
        <v>2.2814491049778924</v>
      </c>
    </row>
    <row r="68" spans="1:9">
      <c r="A68" s="2">
        <v>15918.331518999999</v>
      </c>
      <c r="B68" s="2" t="s">
        <v>47</v>
      </c>
      <c r="C68" s="2">
        <v>1.7979566454103599</v>
      </c>
      <c r="D68" s="2">
        <v>3.4004190578698301</v>
      </c>
      <c r="E68" s="2">
        <v>3.3998129828990198E-5</v>
      </c>
      <c r="F68" s="2">
        <v>-7.9781442130729601E-6</v>
      </c>
      <c r="G68" s="2">
        <v>14900000</v>
      </c>
      <c r="H68" s="2">
        <f t="shared" si="2"/>
        <v>2.2817536797979999E-12</v>
      </c>
      <c r="I68" s="2">
        <f t="shared" si="3"/>
        <v>2.2817536797979998</v>
      </c>
    </row>
    <row r="69" spans="1:9">
      <c r="A69" s="2">
        <v>15918.331518999999</v>
      </c>
      <c r="B69" s="2" t="s">
        <v>47</v>
      </c>
      <c r="C69" s="2">
        <v>1.79824142659358</v>
      </c>
      <c r="D69" s="2">
        <v>3.4005888011224301</v>
      </c>
      <c r="E69" s="2">
        <v>3.3999826958973702E-5</v>
      </c>
      <c r="F69" s="2">
        <v>-7.9809915173243399E-6</v>
      </c>
      <c r="G69" s="2">
        <v>14900000</v>
      </c>
      <c r="H69" s="2">
        <f t="shared" si="2"/>
        <v>2.2818675811391746E-12</v>
      </c>
      <c r="I69" s="2">
        <f t="shared" si="3"/>
        <v>2.2818675811391746</v>
      </c>
    </row>
    <row r="70" spans="1:9">
      <c r="A70" s="2" t="s">
        <v>23</v>
      </c>
      <c r="B70" s="2" t="s">
        <v>1</v>
      </c>
      <c r="C70" s="2" t="s">
        <v>2</v>
      </c>
      <c r="D70" s="2" t="s">
        <v>26</v>
      </c>
    </row>
    <row r="75" spans="1:9">
      <c r="A75" s="2" t="s">
        <v>0</v>
      </c>
      <c r="B75" s="2" t="s">
        <v>1</v>
      </c>
      <c r="C75" s="2" t="s">
        <v>2</v>
      </c>
      <c r="D75" s="2" t="s">
        <v>24</v>
      </c>
    </row>
    <row r="76" spans="1:9">
      <c r="A76" s="2" t="s">
        <v>3</v>
      </c>
      <c r="B76" s="2" t="s">
        <v>4</v>
      </c>
      <c r="C76" s="2" t="s">
        <v>2</v>
      </c>
      <c r="D76" s="2" t="s">
        <v>25</v>
      </c>
    </row>
    <row r="77" spans="1:9">
      <c r="A77" s="2" t="s">
        <v>5</v>
      </c>
      <c r="B77" s="2" t="s">
        <v>2</v>
      </c>
      <c r="C77" s="2" t="s">
        <v>6</v>
      </c>
    </row>
    <row r="78" spans="1:9">
      <c r="A78" s="2" t="s">
        <v>7</v>
      </c>
    </row>
    <row r="79" spans="1:9">
      <c r="B79" s="2" t="s">
        <v>8</v>
      </c>
      <c r="C79" s="2" t="s">
        <v>9</v>
      </c>
    </row>
    <row r="80" spans="1:9">
      <c r="B80" s="2" t="s">
        <v>10</v>
      </c>
      <c r="C80" s="2" t="s">
        <v>11</v>
      </c>
    </row>
    <row r="81" spans="1:10">
      <c r="B81" s="2" t="s">
        <v>12</v>
      </c>
      <c r="C81" s="2" t="s">
        <v>13</v>
      </c>
      <c r="D81" s="3" t="s">
        <v>52</v>
      </c>
    </row>
    <row r="82" spans="1:10">
      <c r="B82" s="2" t="s">
        <v>14</v>
      </c>
      <c r="C82" s="2" t="s">
        <v>51</v>
      </c>
    </row>
    <row r="83" spans="1:10">
      <c r="B83" s="2" t="s">
        <v>15</v>
      </c>
      <c r="C83" s="2" t="s">
        <v>16</v>
      </c>
    </row>
    <row r="84" spans="1:10">
      <c r="B84" s="2" t="s">
        <v>17</v>
      </c>
      <c r="C84" s="2" t="s">
        <v>18</v>
      </c>
    </row>
    <row r="85" spans="1:10">
      <c r="A85" s="2" t="s">
        <v>19</v>
      </c>
    </row>
    <row r="86" spans="1:10">
      <c r="A86" s="2" t="s">
        <v>20</v>
      </c>
      <c r="B86" s="2">
        <v>3348000</v>
      </c>
      <c r="C86" s="2" t="s">
        <v>21</v>
      </c>
      <c r="D86" s="2" t="s">
        <v>22</v>
      </c>
      <c r="E86" s="2">
        <v>3451395</v>
      </c>
    </row>
    <row r="87" spans="1:10">
      <c r="A87" s="2">
        <v>15.918279</v>
      </c>
      <c r="B87" s="2" t="s">
        <v>44</v>
      </c>
      <c r="C87" s="2">
        <v>1.0529722853755701</v>
      </c>
      <c r="D87" s="2">
        <v>-5.6641396319213097E-2</v>
      </c>
      <c r="E87" s="2">
        <v>-5.6631487661636397E-4</v>
      </c>
      <c r="F87" s="2">
        <v>-5.2963018580066805E-4</v>
      </c>
    </row>
    <row r="88" spans="1:10">
      <c r="A88" s="2">
        <v>15.918279</v>
      </c>
      <c r="B88" s="2" t="s">
        <v>44</v>
      </c>
      <c r="C88" s="2">
        <v>1.0529668699379799</v>
      </c>
      <c r="D88" s="2">
        <v>-5.6642911520701299E-2</v>
      </c>
      <c r="E88" s="2">
        <v>-5.6633002598060296E-4</v>
      </c>
      <c r="F88" s="2">
        <v>-5.2957604089841999E-4</v>
      </c>
    </row>
    <row r="89" spans="1:10">
      <c r="A89" s="2">
        <v>15.918279</v>
      </c>
      <c r="B89" s="2" t="s">
        <v>44</v>
      </c>
      <c r="C89" s="2">
        <v>1.0529791469430301</v>
      </c>
      <c r="D89" s="2">
        <v>-5.6643803774519698E-2</v>
      </c>
      <c r="E89" s="2">
        <v>-5.6633894695790705E-4</v>
      </c>
      <c r="F89" s="2">
        <v>-5.2969878947191503E-4</v>
      </c>
    </row>
    <row r="90" spans="1:10">
      <c r="A90" s="2">
        <v>15.918279</v>
      </c>
      <c r="B90" s="2" t="s">
        <v>44</v>
      </c>
      <c r="C90" s="2">
        <v>1.05297358015049</v>
      </c>
      <c r="D90" s="2">
        <v>-5.6644131794311901E-2</v>
      </c>
      <c r="E90" s="2">
        <v>-5.66342226582003E-4</v>
      </c>
      <c r="F90" s="2">
        <v>-5.2964313128487403E-4</v>
      </c>
    </row>
    <row r="91" spans="1:10">
      <c r="A91" s="2">
        <v>15.918279</v>
      </c>
      <c r="B91" s="2" t="s">
        <v>44</v>
      </c>
      <c r="C91" s="2">
        <v>1.0529832264374599</v>
      </c>
      <c r="D91" s="2">
        <v>-5.6642577568862401E-2</v>
      </c>
      <c r="E91" s="2">
        <v>-5.6632668704641696E-4</v>
      </c>
      <c r="F91" s="2">
        <v>-5.2973957727967002E-4</v>
      </c>
      <c r="G91" s="2" t="s">
        <v>30</v>
      </c>
      <c r="H91" s="2" t="s">
        <v>32</v>
      </c>
      <c r="I91" s="2" t="s">
        <v>57</v>
      </c>
    </row>
    <row r="92" spans="1:10">
      <c r="A92" s="2">
        <v>159.18338600000001</v>
      </c>
      <c r="B92" s="2" t="s">
        <v>45</v>
      </c>
      <c r="C92" s="2">
        <v>1.0064351165904999</v>
      </c>
      <c r="D92" s="2">
        <v>0.101043614737662</v>
      </c>
      <c r="E92" s="2">
        <v>1.01025560251445E-4</v>
      </c>
      <c r="F92" s="2">
        <v>-6.4339667630322503E-6</v>
      </c>
      <c r="G92" s="2">
        <v>14900000</v>
      </c>
      <c r="H92" s="2">
        <f>E92/G92</f>
        <v>6.7802389430499998E-12</v>
      </c>
      <c r="I92" s="2">
        <f>H92*1000000000000</f>
        <v>6.7802389430499996</v>
      </c>
      <c r="J92" s="2">
        <f>I92-I55</f>
        <v>5.206921637729053</v>
      </c>
    </row>
    <row r="93" spans="1:10">
      <c r="A93" s="2">
        <v>159.18338600000001</v>
      </c>
      <c r="B93" s="2" t="s">
        <v>45</v>
      </c>
      <c r="C93" s="2">
        <v>1.0064310384166499</v>
      </c>
      <c r="D93" s="2">
        <v>0.10104158763654</v>
      </c>
      <c r="E93" s="2">
        <v>1.01023533512525E-4</v>
      </c>
      <c r="F93" s="2">
        <v>-6.4298893178733699E-6</v>
      </c>
      <c r="G93" s="2">
        <v>14900000</v>
      </c>
      <c r="H93" s="2">
        <f t="shared" ref="H93:H106" si="4">E93/G93</f>
        <v>6.7801029203036912E-12</v>
      </c>
      <c r="I93" s="2">
        <f t="shared" ref="I93:I106" si="5">H93*1000000000000</f>
        <v>6.7801029203036913</v>
      </c>
      <c r="J93" s="2">
        <f t="shared" ref="J93:J106" si="6">I93-I56</f>
        <v>5.2067383034123829</v>
      </c>
    </row>
    <row r="94" spans="1:10">
      <c r="A94" s="2">
        <v>159.18338600000001</v>
      </c>
      <c r="B94" s="2" t="s">
        <v>45</v>
      </c>
      <c r="C94" s="2">
        <v>1.0064277306917699</v>
      </c>
      <c r="D94" s="2">
        <v>0.101039910385402</v>
      </c>
      <c r="E94" s="2">
        <v>1.01021856561079E-4</v>
      </c>
      <c r="F94" s="2">
        <v>-6.42658218401653E-6</v>
      </c>
      <c r="G94" s="2">
        <v>14900000</v>
      </c>
      <c r="H94" s="2">
        <f t="shared" si="4"/>
        <v>6.7799903732267791E-12</v>
      </c>
      <c r="I94" s="2">
        <f t="shared" si="5"/>
        <v>6.779990373226779</v>
      </c>
      <c r="J94" s="2">
        <f t="shared" si="6"/>
        <v>5.2068955334709397</v>
      </c>
    </row>
    <row r="95" spans="1:10">
      <c r="A95" s="2">
        <v>159.18338600000001</v>
      </c>
      <c r="B95" s="2" t="s">
        <v>45</v>
      </c>
      <c r="C95" s="2">
        <v>1.0064331742661701</v>
      </c>
      <c r="D95" s="2">
        <v>0.10104058654121099</v>
      </c>
      <c r="E95" s="2">
        <v>1.01022532596072E-4</v>
      </c>
      <c r="F95" s="2">
        <v>-6.4320247857620798E-6</v>
      </c>
      <c r="G95" s="2">
        <v>14900000</v>
      </c>
      <c r="H95" s="2">
        <f t="shared" si="4"/>
        <v>6.7800357447028188E-12</v>
      </c>
      <c r="I95" s="2">
        <f t="shared" si="5"/>
        <v>6.7800357447028192</v>
      </c>
      <c r="J95" s="2">
        <f t="shared" si="6"/>
        <v>5.2064852349812618</v>
      </c>
    </row>
    <row r="96" spans="1:10">
      <c r="A96" s="2">
        <v>159.18338600000001</v>
      </c>
      <c r="B96" s="2" t="s">
        <v>45</v>
      </c>
      <c r="C96" s="2">
        <v>1.0064454099793001</v>
      </c>
      <c r="D96" s="2">
        <v>0.101040450246023</v>
      </c>
      <c r="E96" s="2">
        <v>1.01022396325238E-4</v>
      </c>
      <c r="F96" s="2">
        <v>-6.4442583126117397E-6</v>
      </c>
      <c r="G96" s="2">
        <v>14900000</v>
      </c>
      <c r="H96" s="2">
        <f t="shared" si="4"/>
        <v>6.780026599009262E-12</v>
      </c>
      <c r="I96" s="2">
        <f t="shared" si="5"/>
        <v>6.7800265990092621</v>
      </c>
      <c r="J96" s="2">
        <f t="shared" si="6"/>
        <v>5.2065910899048191</v>
      </c>
    </row>
    <row r="97" spans="1:10">
      <c r="A97" s="2">
        <v>1591.630257</v>
      </c>
      <c r="B97" s="2" t="s">
        <v>46</v>
      </c>
      <c r="C97" s="2">
        <v>1.0277206077194001</v>
      </c>
      <c r="D97" s="2">
        <v>1.1102598364179801</v>
      </c>
      <c r="E97" s="2">
        <v>1.11020345526342E-4</v>
      </c>
      <c r="F97" s="2">
        <v>-2.7719200013013101E-6</v>
      </c>
      <c r="G97" s="2">
        <v>14900000</v>
      </c>
      <c r="H97" s="2">
        <f t="shared" si="4"/>
        <v>7.4510299010967792E-12</v>
      </c>
      <c r="I97" s="2">
        <f t="shared" si="5"/>
        <v>7.4510299010967795</v>
      </c>
      <c r="J97" s="2">
        <f t="shared" si="6"/>
        <v>5.0850232739257324</v>
      </c>
    </row>
    <row r="98" spans="1:10">
      <c r="A98" s="2">
        <v>1591.630257</v>
      </c>
      <c r="B98" s="2" t="s">
        <v>46</v>
      </c>
      <c r="C98" s="2">
        <v>1.02769933065307</v>
      </c>
      <c r="D98" s="2">
        <v>1.11035349593674</v>
      </c>
      <c r="E98" s="2">
        <v>1.11029711002596E-4</v>
      </c>
      <c r="F98" s="2">
        <v>-2.76979240271689E-6</v>
      </c>
      <c r="G98" s="2">
        <v>14900000</v>
      </c>
      <c r="H98" s="2">
        <f t="shared" si="4"/>
        <v>7.4516584565500669E-12</v>
      </c>
      <c r="I98" s="2">
        <f t="shared" si="5"/>
        <v>7.4516584565500672</v>
      </c>
      <c r="J98" s="2">
        <f t="shared" si="6"/>
        <v>5.0857634604512949</v>
      </c>
    </row>
    <row r="99" spans="1:10">
      <c r="A99" s="2">
        <v>1591.630257</v>
      </c>
      <c r="B99" s="2" t="s">
        <v>46</v>
      </c>
      <c r="C99" s="2">
        <v>1.0276977675301799</v>
      </c>
      <c r="D99" s="2">
        <v>1.1103837745464999</v>
      </c>
      <c r="E99" s="2">
        <v>1.1103273870981201E-4</v>
      </c>
      <c r="F99" s="2">
        <v>-2.7696360983664002E-6</v>
      </c>
      <c r="G99" s="2">
        <v>14900000</v>
      </c>
      <c r="H99" s="2">
        <f t="shared" si="4"/>
        <v>7.4518616583766443E-12</v>
      </c>
      <c r="I99" s="2">
        <f t="shared" si="5"/>
        <v>7.4518616583766439</v>
      </c>
      <c r="J99" s="2">
        <f t="shared" si="6"/>
        <v>5.0858817627536776</v>
      </c>
    </row>
    <row r="100" spans="1:10">
      <c r="A100" s="2">
        <v>1591.630257</v>
      </c>
      <c r="B100" s="2" t="s">
        <v>46</v>
      </c>
      <c r="C100" s="2">
        <v>1.0277154315066099</v>
      </c>
      <c r="D100" s="2">
        <v>1.1103913289335801</v>
      </c>
      <c r="E100" s="2">
        <v>1.11033494110158E-4</v>
      </c>
      <c r="F100" s="2">
        <v>-2.7714024063079099E-6</v>
      </c>
      <c r="G100" s="2">
        <v>14900000</v>
      </c>
      <c r="H100" s="2">
        <f t="shared" si="4"/>
        <v>7.451912356386443E-12</v>
      </c>
      <c r="I100" s="2">
        <f t="shared" si="5"/>
        <v>7.4519123563864431</v>
      </c>
      <c r="J100" s="2">
        <f t="shared" si="6"/>
        <v>5.0858253368006849</v>
      </c>
    </row>
    <row r="101" spans="1:10">
      <c r="A101" s="2">
        <v>1591.630257</v>
      </c>
      <c r="B101" s="2" t="s">
        <v>46</v>
      </c>
      <c r="C101" s="2">
        <v>1.0277082073413599</v>
      </c>
      <c r="D101" s="2">
        <v>1.11040086142483</v>
      </c>
      <c r="E101" s="2">
        <v>1.1103444731087499E-4</v>
      </c>
      <c r="F101" s="2">
        <v>-2.7706800264689799E-6</v>
      </c>
      <c r="G101" s="2">
        <v>14900000</v>
      </c>
      <c r="H101" s="2">
        <f t="shared" si="4"/>
        <v>7.4519763295889252E-12</v>
      </c>
      <c r="I101" s="2">
        <f t="shared" si="5"/>
        <v>7.4519763295889252</v>
      </c>
      <c r="J101" s="2">
        <f t="shared" si="6"/>
        <v>5.0858950980364277</v>
      </c>
    </row>
    <row r="102" spans="1:10">
      <c r="A102" s="2">
        <v>15918.331518999999</v>
      </c>
      <c r="B102" s="2" t="s">
        <v>47</v>
      </c>
      <c r="C102" s="2">
        <v>3.0453664490876302</v>
      </c>
      <c r="D102" s="2">
        <v>10.6943330733635</v>
      </c>
      <c r="E102" s="2">
        <v>1.0692426964882501E-4</v>
      </c>
      <c r="F102" s="2">
        <v>-2.0450018924286301E-5</v>
      </c>
      <c r="G102" s="2">
        <v>14900000</v>
      </c>
      <c r="H102" s="2">
        <f t="shared" si="4"/>
        <v>7.1761254797869134E-12</v>
      </c>
      <c r="I102" s="2">
        <f t="shared" si="5"/>
        <v>7.1761254797869132</v>
      </c>
      <c r="J102" s="2">
        <f t="shared" si="6"/>
        <v>4.8956756154759802</v>
      </c>
    </row>
    <row r="103" spans="1:10">
      <c r="A103" s="2">
        <v>15918.331518999999</v>
      </c>
      <c r="B103" s="2" t="s">
        <v>47</v>
      </c>
      <c r="C103" s="2">
        <v>3.0465567494007302</v>
      </c>
      <c r="D103" s="2">
        <v>10.6945941269343</v>
      </c>
      <c r="E103" s="2">
        <v>1.0692687971924299E-4</v>
      </c>
      <c r="F103" s="2">
        <v>-2.0461919805881098E-5</v>
      </c>
      <c r="G103" s="2">
        <v>14900000</v>
      </c>
      <c r="H103" s="2">
        <f t="shared" si="4"/>
        <v>7.1763006522981872E-12</v>
      </c>
      <c r="I103" s="2">
        <f t="shared" si="5"/>
        <v>7.1763006522981874</v>
      </c>
      <c r="J103" s="2">
        <f t="shared" si="6"/>
        <v>4.8954122409028109</v>
      </c>
    </row>
    <row r="104" spans="1:10">
      <c r="A104" s="2">
        <v>15918.331518999999</v>
      </c>
      <c r="B104" s="2" t="s">
        <v>47</v>
      </c>
      <c r="C104" s="2">
        <v>3.0455931310686002</v>
      </c>
      <c r="D104" s="2">
        <v>10.6953800848489</v>
      </c>
      <c r="E104" s="2">
        <v>1.06934737897534E-4</v>
      </c>
      <c r="F104" s="2">
        <v>-2.04522853400686E-5</v>
      </c>
      <c r="G104" s="2">
        <v>14900000</v>
      </c>
      <c r="H104" s="2">
        <f t="shared" si="4"/>
        <v>7.1768280468143626E-12</v>
      </c>
      <c r="I104" s="2">
        <f t="shared" si="5"/>
        <v>7.1768280468143626</v>
      </c>
      <c r="J104" s="2">
        <f t="shared" si="6"/>
        <v>4.8953789418364702</v>
      </c>
    </row>
    <row r="105" spans="1:10">
      <c r="A105" s="2">
        <v>15918.331518999999</v>
      </c>
      <c r="B105" s="2" t="s">
        <v>47</v>
      </c>
      <c r="C105" s="2">
        <v>3.04645124358436</v>
      </c>
      <c r="D105" s="2">
        <v>10.695372163103301</v>
      </c>
      <c r="E105" s="2">
        <v>1.06934658694197E-4</v>
      </c>
      <c r="F105" s="2">
        <v>-2.04608649357661E-5</v>
      </c>
      <c r="G105" s="2">
        <v>14900000</v>
      </c>
      <c r="H105" s="2">
        <f t="shared" si="4"/>
        <v>7.1768227311541608E-12</v>
      </c>
      <c r="I105" s="2">
        <f t="shared" si="5"/>
        <v>7.1768227311541608</v>
      </c>
      <c r="J105" s="2">
        <f t="shared" si="6"/>
        <v>4.8950690513561614</v>
      </c>
    </row>
    <row r="106" spans="1:10">
      <c r="A106" s="2">
        <v>15918.331518999999</v>
      </c>
      <c r="B106" s="2" t="s">
        <v>47</v>
      </c>
      <c r="C106" s="2">
        <v>3.0436015599697499</v>
      </c>
      <c r="D106" s="2">
        <v>10.696497424835499</v>
      </c>
      <c r="E106" s="2">
        <v>1.06945909305905E-4</v>
      </c>
      <c r="F106" s="2">
        <v>-2.0432373178764302E-5</v>
      </c>
      <c r="G106" s="2">
        <v>14900000</v>
      </c>
      <c r="H106" s="2">
        <f t="shared" si="4"/>
        <v>7.1775778057654365E-12</v>
      </c>
      <c r="I106" s="2">
        <f t="shared" si="5"/>
        <v>7.1775778057654369</v>
      </c>
      <c r="J106" s="2">
        <f t="shared" si="6"/>
        <v>4.8957102246262618</v>
      </c>
    </row>
    <row r="107" spans="1:10">
      <c r="A107" s="2" t="s">
        <v>23</v>
      </c>
      <c r="B107" s="2" t="s">
        <v>1</v>
      </c>
      <c r="C107" s="2" t="s">
        <v>2</v>
      </c>
      <c r="D107" s="2" t="s">
        <v>26</v>
      </c>
    </row>
    <row r="112" spans="1:10">
      <c r="A112" s="2" t="s">
        <v>0</v>
      </c>
      <c r="B112" s="2" t="s">
        <v>1</v>
      </c>
      <c r="C112" s="2" t="s">
        <v>2</v>
      </c>
      <c r="D112" s="2" t="s">
        <v>24</v>
      </c>
    </row>
    <row r="113" spans="1:9">
      <c r="A113" s="2" t="s">
        <v>3</v>
      </c>
      <c r="B113" s="2" t="s">
        <v>4</v>
      </c>
      <c r="C113" s="2" t="s">
        <v>2</v>
      </c>
      <c r="D113" s="2" t="s">
        <v>25</v>
      </c>
    </row>
    <row r="114" spans="1:9">
      <c r="A114" s="2" t="s">
        <v>5</v>
      </c>
      <c r="B114" s="2" t="s">
        <v>2</v>
      </c>
      <c r="C114" s="2" t="s">
        <v>6</v>
      </c>
    </row>
    <row r="115" spans="1:9">
      <c r="A115" s="2" t="s">
        <v>7</v>
      </c>
    </row>
    <row r="116" spans="1:9">
      <c r="B116" s="2" t="s">
        <v>8</v>
      </c>
      <c r="C116" s="2" t="s">
        <v>9</v>
      </c>
    </row>
    <row r="117" spans="1:9">
      <c r="B117" s="2" t="s">
        <v>10</v>
      </c>
      <c r="C117" s="2" t="s">
        <v>11</v>
      </c>
      <c r="D117" s="3" t="s">
        <v>56</v>
      </c>
    </row>
    <row r="118" spans="1:9">
      <c r="B118" s="2" t="s">
        <v>12</v>
      </c>
      <c r="C118" s="2" t="s">
        <v>13</v>
      </c>
    </row>
    <row r="119" spans="1:9">
      <c r="B119" s="2" t="s">
        <v>14</v>
      </c>
      <c r="C119" s="2" t="s">
        <v>55</v>
      </c>
    </row>
    <row r="120" spans="1:9">
      <c r="B120" s="2" t="s">
        <v>15</v>
      </c>
      <c r="C120" s="2" t="s">
        <v>16</v>
      </c>
    </row>
    <row r="121" spans="1:9">
      <c r="B121" s="2" t="s">
        <v>17</v>
      </c>
      <c r="C121" s="2" t="s">
        <v>18</v>
      </c>
    </row>
    <row r="122" spans="1:9">
      <c r="A122" s="2" t="s">
        <v>19</v>
      </c>
    </row>
    <row r="123" spans="1:9">
      <c r="A123" s="2" t="s">
        <v>20</v>
      </c>
      <c r="B123" s="2">
        <v>3348000</v>
      </c>
      <c r="C123" s="2" t="s">
        <v>21</v>
      </c>
      <c r="D123" s="2" t="s">
        <v>22</v>
      </c>
      <c r="E123" s="2">
        <v>3537491</v>
      </c>
    </row>
    <row r="124" spans="1:9">
      <c r="A124" s="2">
        <v>15.918279</v>
      </c>
      <c r="B124" s="2" t="s">
        <v>44</v>
      </c>
      <c r="C124" s="2">
        <v>1.0524515765743301</v>
      </c>
      <c r="D124" s="2">
        <v>-6.4688646853762702E-2</v>
      </c>
      <c r="E124" s="2">
        <v>-6.4677330436929204E-4</v>
      </c>
      <c r="F124" s="2">
        <v>-5.2442400869899097E-4</v>
      </c>
    </row>
    <row r="125" spans="1:9">
      <c r="A125" s="2">
        <v>15.918279</v>
      </c>
      <c r="B125" s="2" t="s">
        <v>44</v>
      </c>
      <c r="C125" s="2">
        <v>1.05244885027197</v>
      </c>
      <c r="D125" s="2">
        <v>-6.4688271775265302E-2</v>
      </c>
      <c r="E125" s="2">
        <v>-6.4676955424046803E-4</v>
      </c>
      <c r="F125" s="2">
        <v>-5.2439675044468599E-4</v>
      </c>
    </row>
    <row r="126" spans="1:9">
      <c r="A126" s="2">
        <v>15.918279</v>
      </c>
      <c r="B126" s="2" t="s">
        <v>44</v>
      </c>
      <c r="C126" s="2">
        <v>1.0524424997831201</v>
      </c>
      <c r="D126" s="2">
        <v>-6.4688259120830399E-2</v>
      </c>
      <c r="E126" s="2">
        <v>-6.4676942771825703E-4</v>
      </c>
      <c r="F126" s="2">
        <v>-5.2433325666548496E-4</v>
      </c>
    </row>
    <row r="127" spans="1:9">
      <c r="A127" s="2">
        <v>15.918279</v>
      </c>
      <c r="B127" s="2" t="s">
        <v>44</v>
      </c>
      <c r="C127" s="2">
        <v>1.0524435866667201</v>
      </c>
      <c r="D127" s="2">
        <v>-6.4692057103283504E-2</v>
      </c>
      <c r="E127" s="2">
        <v>-6.4680740089872297E-4</v>
      </c>
      <c r="F127" s="2">
        <v>-5.2434412360010296E-4</v>
      </c>
    </row>
    <row r="128" spans="1:9">
      <c r="A128" s="2">
        <v>15.918279</v>
      </c>
      <c r="B128" s="2" t="s">
        <v>44</v>
      </c>
      <c r="C128" s="2">
        <v>1.0524490058468501</v>
      </c>
      <c r="D128" s="2">
        <v>-6.4692360978727298E-2</v>
      </c>
      <c r="E128" s="2">
        <v>-6.4681043912157205E-4</v>
      </c>
      <c r="F128" s="2">
        <v>-5.2439830592130004E-4</v>
      </c>
      <c r="G128" s="2" t="s">
        <v>30</v>
      </c>
      <c r="H128" s="2" t="s">
        <v>32</v>
      </c>
      <c r="I128" s="2" t="s">
        <v>57</v>
      </c>
    </row>
    <row r="129" spans="1:9">
      <c r="A129" s="2">
        <v>159.18338600000001</v>
      </c>
      <c r="B129" s="2" t="s">
        <v>45</v>
      </c>
      <c r="C129" s="2">
        <v>1.00538239833711</v>
      </c>
      <c r="D129" s="2">
        <v>2.4530653128023099E-2</v>
      </c>
      <c r="E129" s="2">
        <v>2.45262699877331E-5</v>
      </c>
      <c r="F129" s="2">
        <v>-5.3814366094760198E-6</v>
      </c>
      <c r="G129" s="2">
        <v>14900000</v>
      </c>
      <c r="H129" s="2">
        <f>E129/G129</f>
        <v>1.6460583884384631E-12</v>
      </c>
      <c r="I129" s="2">
        <f>H129*1000000000000</f>
        <v>1.6460583884384632</v>
      </c>
    </row>
    <row r="130" spans="1:9">
      <c r="A130" s="2">
        <v>159.18338600000001</v>
      </c>
      <c r="B130" s="2" t="s">
        <v>45</v>
      </c>
      <c r="C130" s="2">
        <v>1.0053777503608601</v>
      </c>
      <c r="D130" s="2">
        <v>2.45295388827011E-2</v>
      </c>
      <c r="E130" s="2">
        <v>2.4525155941504599E-5</v>
      </c>
      <c r="F130" s="2">
        <v>-5.3767894637313599E-6</v>
      </c>
      <c r="G130" s="2">
        <v>14900000</v>
      </c>
      <c r="H130" s="2">
        <f t="shared" ref="H130:H143" si="7">E130/G130</f>
        <v>1.6459836202352079E-12</v>
      </c>
      <c r="I130" s="2">
        <f t="shared" ref="I130:I143" si="8">H130*1000000000000</f>
        <v>1.6459836202352078</v>
      </c>
    </row>
    <row r="131" spans="1:9">
      <c r="A131" s="2">
        <v>159.18338600000001</v>
      </c>
      <c r="B131" s="2" t="s">
        <v>45</v>
      </c>
      <c r="C131" s="2">
        <v>1.0053835690031401</v>
      </c>
      <c r="D131" s="2">
        <v>2.4528130174600302E-2</v>
      </c>
      <c r="E131" s="2">
        <v>2.4523747485112E-5</v>
      </c>
      <c r="F131" s="2">
        <v>-5.3826070663356003E-6</v>
      </c>
      <c r="G131" s="2">
        <v>14900000</v>
      </c>
      <c r="H131" s="2">
        <f t="shared" si="7"/>
        <v>1.6458890929605369E-12</v>
      </c>
      <c r="I131" s="2">
        <f t="shared" si="8"/>
        <v>1.645889092960537</v>
      </c>
    </row>
    <row r="132" spans="1:9">
      <c r="A132" s="2">
        <v>159.18338600000001</v>
      </c>
      <c r="B132" s="2" t="s">
        <v>45</v>
      </c>
      <c r="C132" s="2">
        <v>1.0053981822502001</v>
      </c>
      <c r="D132" s="2">
        <v>2.4529211667608099E-2</v>
      </c>
      <c r="E132" s="2">
        <v>2.4524828784878499E-5</v>
      </c>
      <c r="F132" s="2">
        <v>-5.3972177022967002E-6</v>
      </c>
      <c r="G132" s="2">
        <v>14900000</v>
      </c>
      <c r="H132" s="2">
        <f t="shared" si="7"/>
        <v>1.6459616634146644E-12</v>
      </c>
      <c r="I132" s="2">
        <f t="shared" si="8"/>
        <v>1.6459616634146643</v>
      </c>
    </row>
    <row r="133" spans="1:9">
      <c r="A133" s="2">
        <v>159.18338600000001</v>
      </c>
      <c r="B133" s="2" t="s">
        <v>45</v>
      </c>
      <c r="C133" s="2">
        <v>1.0053886602364299</v>
      </c>
      <c r="D133" s="2">
        <v>2.4528364811091899E-2</v>
      </c>
      <c r="E133" s="2">
        <v>2.45239820796787E-5</v>
      </c>
      <c r="F133" s="2">
        <v>-5.3876973899274399E-6</v>
      </c>
      <c r="G133" s="2">
        <v>14900000</v>
      </c>
      <c r="H133" s="2">
        <f t="shared" si="7"/>
        <v>1.6459048375623288E-12</v>
      </c>
      <c r="I133" s="2">
        <f t="shared" si="8"/>
        <v>1.6459048375623289</v>
      </c>
    </row>
    <row r="134" spans="1:9">
      <c r="A134" s="2">
        <v>1591.630257</v>
      </c>
      <c r="B134" s="2" t="s">
        <v>46</v>
      </c>
      <c r="C134" s="2">
        <v>1.0117996956135</v>
      </c>
      <c r="D134" s="2">
        <v>0.34777042181530898</v>
      </c>
      <c r="E134" s="2">
        <v>3.47752761356684E-5</v>
      </c>
      <c r="F134" s="2">
        <v>-1.17990964020025E-6</v>
      </c>
      <c r="G134" s="2">
        <v>14900000</v>
      </c>
      <c r="H134" s="2">
        <f t="shared" si="7"/>
        <v>2.3339111500448592E-12</v>
      </c>
      <c r="I134" s="2">
        <f t="shared" si="8"/>
        <v>2.3339111500448593</v>
      </c>
    </row>
    <row r="135" spans="1:9">
      <c r="A135" s="2">
        <v>1591.630257</v>
      </c>
      <c r="B135" s="2" t="s">
        <v>46</v>
      </c>
      <c r="C135" s="2">
        <v>1.0117965846368699</v>
      </c>
      <c r="D135" s="2">
        <v>0.34779970477080802</v>
      </c>
      <c r="E135" s="2">
        <v>3.4778204282513802E-5</v>
      </c>
      <c r="F135" s="2">
        <v>-1.1795985583352501E-6</v>
      </c>
      <c r="G135" s="2">
        <v>14900000</v>
      </c>
      <c r="H135" s="2">
        <f t="shared" si="7"/>
        <v>2.3341076699673692E-12</v>
      </c>
      <c r="I135" s="2">
        <f t="shared" si="8"/>
        <v>2.3341076699673691</v>
      </c>
    </row>
    <row r="136" spans="1:9">
      <c r="A136" s="2">
        <v>1591.630257</v>
      </c>
      <c r="B136" s="2" t="s">
        <v>46</v>
      </c>
      <c r="C136" s="2">
        <v>1.0117885109773801</v>
      </c>
      <c r="D136" s="2">
        <v>0.34781231516910299</v>
      </c>
      <c r="E136" s="2">
        <v>3.4779465258305298E-5</v>
      </c>
      <c r="F136" s="2">
        <v>-1.1787912333859001E-6</v>
      </c>
      <c r="G136" s="2">
        <v>14900000</v>
      </c>
      <c r="H136" s="2">
        <f t="shared" si="7"/>
        <v>2.3341922992151206E-12</v>
      </c>
      <c r="I136" s="2">
        <f t="shared" si="8"/>
        <v>2.3341922992151205</v>
      </c>
    </row>
    <row r="137" spans="1:9">
      <c r="A137" s="2">
        <v>1591.630257</v>
      </c>
      <c r="B137" s="2" t="s">
        <v>46</v>
      </c>
      <c r="C137" s="2">
        <v>1.01179654443125</v>
      </c>
      <c r="D137" s="2">
        <v>0.34781151483268902</v>
      </c>
      <c r="E137" s="2">
        <v>3.4779385228728102E-5</v>
      </c>
      <c r="F137" s="2">
        <v>-1.1795945379776999E-6</v>
      </c>
      <c r="G137" s="2">
        <v>14900000</v>
      </c>
      <c r="H137" s="2">
        <f t="shared" si="7"/>
        <v>2.334186928102557E-12</v>
      </c>
      <c r="I137" s="2">
        <f t="shared" si="8"/>
        <v>2.3341869281025569</v>
      </c>
    </row>
    <row r="138" spans="1:9">
      <c r="A138" s="2">
        <v>1591.630257</v>
      </c>
      <c r="B138" s="2" t="s">
        <v>46</v>
      </c>
      <c r="C138" s="2">
        <v>1.0117936941530199</v>
      </c>
      <c r="D138" s="2">
        <v>0.347812262116385</v>
      </c>
      <c r="E138" s="2">
        <v>3.4779459953302903E-5</v>
      </c>
      <c r="F138" s="2">
        <v>-1.1793095246287499E-6</v>
      </c>
      <c r="G138" s="2">
        <v>14900000</v>
      </c>
      <c r="H138" s="2">
        <f t="shared" si="7"/>
        <v>2.3341919431746913E-12</v>
      </c>
      <c r="I138" s="2">
        <f t="shared" si="8"/>
        <v>2.3341919431746914</v>
      </c>
    </row>
    <row r="139" spans="1:9">
      <c r="A139" s="2">
        <v>15918.331518999999</v>
      </c>
      <c r="B139" s="2" t="s">
        <v>47</v>
      </c>
      <c r="C139" s="2">
        <v>1.66849943265334</v>
      </c>
      <c r="D139" s="2">
        <v>3.3381571431532699</v>
      </c>
      <c r="E139" s="2">
        <v>3.3375621654582701E-5</v>
      </c>
      <c r="F139" s="2">
        <v>-6.6838028240532101E-6</v>
      </c>
      <c r="G139" s="2">
        <v>14900000</v>
      </c>
      <c r="H139" s="2">
        <f t="shared" si="7"/>
        <v>2.239974607690114E-12</v>
      </c>
      <c r="I139" s="2">
        <f t="shared" si="8"/>
        <v>2.2399746076901139</v>
      </c>
    </row>
    <row r="140" spans="1:9">
      <c r="A140" s="2">
        <v>15918.331518999999</v>
      </c>
      <c r="B140" s="2" t="s">
        <v>47</v>
      </c>
      <c r="C140" s="2">
        <v>1.6691516751870801</v>
      </c>
      <c r="D140" s="2">
        <v>3.33886436468369</v>
      </c>
      <c r="E140" s="2">
        <v>3.3382692609367997E-5</v>
      </c>
      <c r="F140" s="2">
        <v>-6.6903240868636497E-6</v>
      </c>
      <c r="G140" s="2">
        <v>14900000</v>
      </c>
      <c r="H140" s="2">
        <f t="shared" si="7"/>
        <v>2.2404491684139594E-12</v>
      </c>
      <c r="I140" s="2">
        <f t="shared" si="8"/>
        <v>2.2404491684139596</v>
      </c>
    </row>
    <row r="141" spans="1:9">
      <c r="A141" s="2">
        <v>15918.331518999999</v>
      </c>
      <c r="B141" s="2" t="s">
        <v>47</v>
      </c>
      <c r="C141" s="2">
        <v>1.6687798083418599</v>
      </c>
      <c r="D141" s="2">
        <v>3.3398841056922302</v>
      </c>
      <c r="E141" s="2">
        <v>3.3392888201914098E-5</v>
      </c>
      <c r="F141" s="2">
        <v>-6.6866060812097702E-6</v>
      </c>
      <c r="G141" s="2">
        <v>14900000</v>
      </c>
      <c r="H141" s="2">
        <f t="shared" si="7"/>
        <v>2.2411334363700738E-12</v>
      </c>
      <c r="I141" s="2">
        <f t="shared" si="8"/>
        <v>2.2411334363700739</v>
      </c>
    </row>
    <row r="142" spans="1:9">
      <c r="A142" s="2">
        <v>15918.331518999999</v>
      </c>
      <c r="B142" s="2" t="s">
        <v>47</v>
      </c>
      <c r="C142" s="2">
        <v>1.6691513865991201</v>
      </c>
      <c r="D142" s="2">
        <v>3.3401895242207802</v>
      </c>
      <c r="E142" s="2">
        <v>3.3395941842835698E-5</v>
      </c>
      <c r="F142" s="2">
        <v>-6.6903212014984004E-6</v>
      </c>
      <c r="G142" s="2">
        <v>14900000</v>
      </c>
      <c r="H142" s="2">
        <f t="shared" si="7"/>
        <v>2.2413383787138052E-12</v>
      </c>
      <c r="I142" s="2">
        <f t="shared" si="8"/>
        <v>2.241338378713805</v>
      </c>
    </row>
    <row r="143" spans="1:9">
      <c r="A143" s="2">
        <v>15918.331518999999</v>
      </c>
      <c r="B143" s="2" t="s">
        <v>47</v>
      </c>
      <c r="C143" s="2">
        <v>1.66893983321643</v>
      </c>
      <c r="D143" s="2">
        <v>3.3407457418672402</v>
      </c>
      <c r="E143" s="2">
        <v>3.3401503027923698E-5</v>
      </c>
      <c r="F143" s="2">
        <v>-6.6882060447345403E-6</v>
      </c>
      <c r="G143" s="2">
        <v>14900000</v>
      </c>
      <c r="H143" s="2">
        <f t="shared" si="7"/>
        <v>2.2417116126123288E-12</v>
      </c>
      <c r="I143" s="2">
        <f t="shared" si="8"/>
        <v>2.2417116126123289</v>
      </c>
    </row>
    <row r="144" spans="1:9">
      <c r="A144" s="2" t="s">
        <v>23</v>
      </c>
      <c r="B144" s="2" t="s">
        <v>1</v>
      </c>
      <c r="C144" s="2" t="s">
        <v>2</v>
      </c>
      <c r="D144" s="2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9"/>
  <sheetViews>
    <sheetView workbookViewId="0">
      <selection activeCell="E5" sqref="E5"/>
    </sheetView>
  </sheetViews>
  <sheetFormatPr baseColWidth="10" defaultRowHeight="15" x14ac:dyDescent="0"/>
  <cols>
    <col min="5" max="5" width="40.5" customWidth="1"/>
    <col min="6" max="6" width="40.83203125" customWidth="1"/>
    <col min="8" max="8" width="12.83203125" bestFit="1" customWidth="1"/>
  </cols>
  <sheetData>
    <row r="1" spans="1:5">
      <c r="A1" t="s">
        <v>0</v>
      </c>
      <c r="B1" t="s">
        <v>1</v>
      </c>
      <c r="C1" t="s">
        <v>2</v>
      </c>
      <c r="D1" t="s">
        <v>24</v>
      </c>
    </row>
    <row r="2" spans="1:5">
      <c r="A2" t="s">
        <v>3</v>
      </c>
      <c r="B2" t="s">
        <v>4</v>
      </c>
      <c r="C2" t="s">
        <v>2</v>
      </c>
      <c r="D2" t="s">
        <v>25</v>
      </c>
    </row>
    <row r="3" spans="1:5">
      <c r="A3" t="s">
        <v>5</v>
      </c>
      <c r="B3" t="s">
        <v>2</v>
      </c>
      <c r="C3" t="s">
        <v>6</v>
      </c>
    </row>
    <row r="4" spans="1:5">
      <c r="A4" t="s">
        <v>7</v>
      </c>
    </row>
    <row r="5" spans="1:5">
      <c r="B5" t="s">
        <v>8</v>
      </c>
      <c r="C5" t="s">
        <v>9</v>
      </c>
      <c r="E5" s="4" t="s">
        <v>60</v>
      </c>
    </row>
    <row r="6" spans="1:5">
      <c r="B6" t="s">
        <v>10</v>
      </c>
      <c r="C6" t="s">
        <v>11</v>
      </c>
    </row>
    <row r="7" spans="1:5">
      <c r="B7" t="s">
        <v>12</v>
      </c>
      <c r="C7" t="s">
        <v>13</v>
      </c>
    </row>
    <row r="8" spans="1:5">
      <c r="B8" t="s">
        <v>14</v>
      </c>
      <c r="C8" t="s">
        <v>43</v>
      </c>
    </row>
    <row r="9" spans="1:5">
      <c r="B9" t="s">
        <v>15</v>
      </c>
      <c r="C9" t="s">
        <v>16</v>
      </c>
    </row>
    <row r="10" spans="1:5">
      <c r="B10" t="s">
        <v>17</v>
      </c>
      <c r="C10" t="s">
        <v>18</v>
      </c>
    </row>
    <row r="11" spans="1:5">
      <c r="A11" t="s">
        <v>19</v>
      </c>
    </row>
    <row r="12" spans="1:5">
      <c r="A12" t="s">
        <v>20</v>
      </c>
      <c r="B12">
        <v>3348000</v>
      </c>
      <c r="C12" t="s">
        <v>21</v>
      </c>
      <c r="D12" t="s">
        <v>22</v>
      </c>
      <c r="E12">
        <v>3407872</v>
      </c>
    </row>
    <row r="13" spans="1:5">
      <c r="A13">
        <v>15.918279</v>
      </c>
      <c r="B13">
        <v>1.5624323812098699E-4</v>
      </c>
      <c r="C13">
        <v>0.10927456377075</v>
      </c>
      <c r="D13">
        <f>C13/A13/2/PI()</f>
        <v>1.092554476418299E-3</v>
      </c>
      <c r="E13" t="str">
        <f>COMPLEX(B13,C13)</f>
        <v>0.000156243238120987+0.10927456377075i</v>
      </c>
    </row>
    <row r="14" spans="1:5">
      <c r="A14">
        <v>15.918279</v>
      </c>
      <c r="B14">
        <v>1.5867252601276701E-4</v>
      </c>
      <c r="C14">
        <v>0.109273004871471</v>
      </c>
      <c r="D14">
        <f t="shared" ref="D14:D32" si="0">C14/A14/2/PI()</f>
        <v>1.0925388901525956E-3</v>
      </c>
      <c r="E14" t="str">
        <f t="shared" ref="E14:E32" si="1">COMPLEX(B14,C14)</f>
        <v>0.000158672526012767+0.109273004871471i</v>
      </c>
    </row>
    <row r="15" spans="1:5">
      <c r="A15">
        <v>15.918279</v>
      </c>
      <c r="B15">
        <v>1.59525096876144E-4</v>
      </c>
      <c r="C15">
        <v>0.109275125503782</v>
      </c>
      <c r="D15">
        <f t="shared" si="0"/>
        <v>1.0925600927659421E-3</v>
      </c>
      <c r="E15" t="str">
        <f t="shared" si="1"/>
        <v>0.000159525096876144+0.109275125503782i</v>
      </c>
    </row>
    <row r="16" spans="1:5">
      <c r="A16">
        <v>15.918279</v>
      </c>
      <c r="B16">
        <v>1.5807670159318001E-4</v>
      </c>
      <c r="C16">
        <v>0.109276692910953</v>
      </c>
      <c r="D16">
        <f t="shared" si="0"/>
        <v>1.0925757640956818E-3</v>
      </c>
      <c r="E16" t="str">
        <f t="shared" si="1"/>
        <v>0.00015807670159318+0.109276692910953i</v>
      </c>
    </row>
    <row r="17" spans="1:5">
      <c r="A17">
        <v>15.918279</v>
      </c>
      <c r="B17">
        <v>1.5761834438483499E-4</v>
      </c>
      <c r="C17">
        <v>0.109276955056551</v>
      </c>
      <c r="D17">
        <f t="shared" si="0"/>
        <v>1.0925783850930732E-3</v>
      </c>
      <c r="E17" t="str">
        <f t="shared" si="1"/>
        <v>0.000157618344384835+0.109276955056551i</v>
      </c>
    </row>
    <row r="18" spans="1:5">
      <c r="A18">
        <v>159.18338600000001</v>
      </c>
      <c r="B18">
        <v>2.23510306817002E-3</v>
      </c>
      <c r="C18">
        <v>1.0913965323424499</v>
      </c>
      <c r="D18">
        <f t="shared" si="0"/>
        <v>1.091201521468167E-3</v>
      </c>
      <c r="E18" t="str">
        <f t="shared" si="1"/>
        <v>0.00223510306817002+1.09139653234245i</v>
      </c>
    </row>
    <row r="19" spans="1:5">
      <c r="A19">
        <v>159.18338600000001</v>
      </c>
      <c r="B19">
        <v>2.25843195698378E-3</v>
      </c>
      <c r="C19">
        <v>1.0913857544402801</v>
      </c>
      <c r="D19">
        <f t="shared" si="0"/>
        <v>1.0911907454917941E-3</v>
      </c>
      <c r="E19" t="str">
        <f t="shared" si="1"/>
        <v>0.00225843195698378+1.09138575444028i</v>
      </c>
    </row>
    <row r="20" spans="1:5">
      <c r="A20">
        <v>159.18338600000001</v>
      </c>
      <c r="B20">
        <v>2.2354851609156399E-3</v>
      </c>
      <c r="C20">
        <v>1.0913636487259699</v>
      </c>
      <c r="D20">
        <f t="shared" si="0"/>
        <v>1.0911686437273358E-3</v>
      </c>
      <c r="E20" t="str">
        <f t="shared" si="1"/>
        <v>0.00223548516091564+1.09136364872597i</v>
      </c>
    </row>
    <row r="21" spans="1:5">
      <c r="A21">
        <v>159.18338600000001</v>
      </c>
      <c r="B21">
        <v>2.2417122747422601E-3</v>
      </c>
      <c r="C21">
        <v>1.0913193343704799</v>
      </c>
      <c r="D21">
        <f t="shared" si="0"/>
        <v>1.0911243372899405E-3</v>
      </c>
      <c r="E21" t="str">
        <f t="shared" si="1"/>
        <v>0.00224171227474226+1.09131933437048i</v>
      </c>
    </row>
    <row r="22" spans="1:5">
      <c r="A22">
        <v>159.18338600000001</v>
      </c>
      <c r="B22">
        <v>2.24286694793264E-3</v>
      </c>
      <c r="C22">
        <v>1.09130383692545</v>
      </c>
      <c r="D22">
        <f t="shared" si="0"/>
        <v>1.0911088426139961E-3</v>
      </c>
      <c r="E22" t="str">
        <f t="shared" si="1"/>
        <v>0.00224286694793264+1.09130383692545i</v>
      </c>
    </row>
    <row r="23" spans="1:5">
      <c r="A23">
        <v>1591.630257</v>
      </c>
      <c r="B23">
        <v>0.157835974091354</v>
      </c>
      <c r="C23">
        <v>10.903014911463501</v>
      </c>
      <c r="D23">
        <f t="shared" si="0"/>
        <v>1.0902461235153937E-3</v>
      </c>
      <c r="E23" t="str">
        <f t="shared" si="1"/>
        <v>0.157835974091354+10.9030149114635i</v>
      </c>
    </row>
    <row r="24" spans="1:5">
      <c r="A24">
        <v>1591.630257</v>
      </c>
      <c r="B24">
        <v>0.15780250456080899</v>
      </c>
      <c r="C24">
        <v>10.9030337616555</v>
      </c>
      <c r="D24">
        <f t="shared" si="0"/>
        <v>1.0902480084388688E-3</v>
      </c>
      <c r="E24" t="str">
        <f t="shared" si="1"/>
        <v>0.157802504560809+10.9030337616555i</v>
      </c>
    </row>
    <row r="25" spans="1:5">
      <c r="A25">
        <v>1591.630257</v>
      </c>
      <c r="B25">
        <v>0.158013818145566</v>
      </c>
      <c r="C25">
        <v>10.903031292080399</v>
      </c>
      <c r="D25">
        <f t="shared" si="0"/>
        <v>1.0902477614938995E-3</v>
      </c>
      <c r="E25" t="str">
        <f t="shared" si="1"/>
        <v>0.158013818145566+10.9030312920804i</v>
      </c>
    </row>
    <row r="26" spans="1:5">
      <c r="A26">
        <v>1591.630257</v>
      </c>
      <c r="B26">
        <v>0.15799105059414101</v>
      </c>
      <c r="C26">
        <v>10.9031086068983</v>
      </c>
      <c r="D26">
        <f t="shared" si="0"/>
        <v>1.0902554925830701E-3</v>
      </c>
      <c r="E26" t="str">
        <f t="shared" si="1"/>
        <v>0.157991050594141+10.9031086068983i</v>
      </c>
    </row>
    <row r="27" spans="1:5">
      <c r="A27">
        <v>1591.630257</v>
      </c>
      <c r="B27">
        <v>0.15795097383965001</v>
      </c>
      <c r="C27">
        <v>10.903441449125101</v>
      </c>
      <c r="D27">
        <f t="shared" si="0"/>
        <v>1.0902887751155124E-3</v>
      </c>
      <c r="E27" t="str">
        <f t="shared" si="1"/>
        <v>0.15795097383965+10.9034414491251i</v>
      </c>
    </row>
    <row r="28" spans="1:5">
      <c r="A28">
        <v>15918.331518999999</v>
      </c>
      <c r="B28">
        <v>15.1387937770179</v>
      </c>
      <c r="C28">
        <v>106.996675828121</v>
      </c>
      <c r="D28">
        <f t="shared" si="0"/>
        <v>1.0697760523532775E-3</v>
      </c>
      <c r="E28" t="str">
        <f t="shared" si="1"/>
        <v>15.1387937770179+106.996675828121i</v>
      </c>
    </row>
    <row r="29" spans="1:5">
      <c r="A29">
        <v>15918.331518999999</v>
      </c>
      <c r="B29">
        <v>15.182283717133499</v>
      </c>
      <c r="C29">
        <v>107.001269673811</v>
      </c>
      <c r="D29">
        <f t="shared" si="0"/>
        <v>1.0698219826223193E-3</v>
      </c>
      <c r="E29" t="str">
        <f t="shared" si="1"/>
        <v>15.1822837171335+107.001269673811i</v>
      </c>
    </row>
    <row r="30" spans="1:5">
      <c r="A30">
        <v>15918.331518999999</v>
      </c>
      <c r="B30">
        <v>15.1173139139747</v>
      </c>
      <c r="C30">
        <v>107.009931219425</v>
      </c>
      <c r="D30">
        <f t="shared" si="0"/>
        <v>1.069908582640521E-3</v>
      </c>
      <c r="E30" t="str">
        <f t="shared" si="1"/>
        <v>15.1173139139747+107.009931219425i</v>
      </c>
    </row>
    <row r="31" spans="1:5">
      <c r="A31">
        <v>15918.331518999999</v>
      </c>
      <c r="B31">
        <v>15.154709366924701</v>
      </c>
      <c r="C31">
        <v>107.002185312108</v>
      </c>
      <c r="D31">
        <f t="shared" si="0"/>
        <v>1.0698311373732981E-3</v>
      </c>
      <c r="E31" t="str">
        <f t="shared" si="1"/>
        <v>15.1547093669247+107.002185312108i</v>
      </c>
    </row>
    <row r="32" spans="1:5">
      <c r="A32">
        <v>15918.331518999999</v>
      </c>
      <c r="B32">
        <v>15.1726530380343</v>
      </c>
      <c r="C32">
        <v>107.004941587254</v>
      </c>
      <c r="D32">
        <f t="shared" si="0"/>
        <v>1.0698586952121005E-3</v>
      </c>
      <c r="E32" t="str">
        <f t="shared" si="1"/>
        <v>15.1726530380343+107.004941587254i</v>
      </c>
    </row>
    <row r="33" spans="1:5">
      <c r="A33" t="s">
        <v>23</v>
      </c>
      <c r="B33" t="s">
        <v>1</v>
      </c>
      <c r="C33" t="s">
        <v>2</v>
      </c>
      <c r="D33" t="s">
        <v>26</v>
      </c>
    </row>
    <row r="37" spans="1:5">
      <c r="A37" t="s">
        <v>0</v>
      </c>
      <c r="B37" t="s">
        <v>1</v>
      </c>
      <c r="C37" t="s">
        <v>2</v>
      </c>
      <c r="D37" t="s">
        <v>24</v>
      </c>
    </row>
    <row r="38" spans="1:5">
      <c r="A38" t="s">
        <v>3</v>
      </c>
      <c r="B38" t="s">
        <v>4</v>
      </c>
      <c r="C38" t="s">
        <v>2</v>
      </c>
      <c r="D38" t="s">
        <v>25</v>
      </c>
    </row>
    <row r="39" spans="1:5">
      <c r="A39" t="s">
        <v>5</v>
      </c>
      <c r="B39" t="s">
        <v>2</v>
      </c>
      <c r="C39" t="s">
        <v>6</v>
      </c>
    </row>
    <row r="40" spans="1:5">
      <c r="A40" t="s">
        <v>7</v>
      </c>
    </row>
    <row r="41" spans="1:5">
      <c r="B41" t="s">
        <v>8</v>
      </c>
      <c r="C41" t="s">
        <v>9</v>
      </c>
    </row>
    <row r="42" spans="1:5">
      <c r="B42" t="s">
        <v>10</v>
      </c>
      <c r="C42" t="s">
        <v>11</v>
      </c>
    </row>
    <row r="43" spans="1:5">
      <c r="B43" t="s">
        <v>12</v>
      </c>
      <c r="C43" t="s">
        <v>13</v>
      </c>
    </row>
    <row r="44" spans="1:5">
      <c r="B44" t="s">
        <v>14</v>
      </c>
      <c r="C44" t="s">
        <v>58</v>
      </c>
    </row>
    <row r="45" spans="1:5">
      <c r="B45" t="s">
        <v>15</v>
      </c>
      <c r="C45" t="s">
        <v>16</v>
      </c>
    </row>
    <row r="46" spans="1:5">
      <c r="B46" t="s">
        <v>17</v>
      </c>
      <c r="C46" t="s">
        <v>18</v>
      </c>
    </row>
    <row r="47" spans="1:5">
      <c r="A47" t="s">
        <v>19</v>
      </c>
    </row>
    <row r="48" spans="1:5">
      <c r="A48" t="s">
        <v>20</v>
      </c>
      <c r="B48">
        <v>3348000</v>
      </c>
      <c r="C48" t="s">
        <v>21</v>
      </c>
      <c r="D48" t="s">
        <v>22</v>
      </c>
      <c r="E48">
        <v>3660597</v>
      </c>
    </row>
    <row r="49" spans="1:8">
      <c r="A49">
        <v>15.918279</v>
      </c>
      <c r="B49">
        <v>1.26720449549661E-2</v>
      </c>
      <c r="C49">
        <v>-9.1457293401510302</v>
      </c>
      <c r="D49">
        <f>-1/C49/2/PI()/A49</f>
        <v>1.0932152331853619E-3</v>
      </c>
      <c r="E49" t="str">
        <f>COMPLEX(B49,C49)</f>
        <v>0.0126720449549661-9.14572934015103i</v>
      </c>
      <c r="F49" t="str">
        <f>IMPRODUCT(E49,E13)</f>
        <v>0.99939756393169-0.0000442261825460608i</v>
      </c>
      <c r="G49">
        <f>IMREAL(F49)</f>
        <v>0.99939756393168999</v>
      </c>
      <c r="H49">
        <f>IMAGINARY(F49)</f>
        <v>-4.42261825460608E-5</v>
      </c>
    </row>
    <row r="50" spans="1:8">
      <c r="A50">
        <v>15.918279</v>
      </c>
      <c r="B50">
        <v>1.2760717363507999E-2</v>
      </c>
      <c r="C50">
        <v>-9.1459463280377893</v>
      </c>
      <c r="D50">
        <f t="shared" ref="D50:D68" si="2">-1/C50/2/PI()/A50</f>
        <v>1.093189296616885E-3</v>
      </c>
      <c r="E50" t="str">
        <f t="shared" ref="E50:E68" si="3">COMPLEX(B50,C50)</f>
        <v>0.012760717363508-9.14594632803779i</v>
      </c>
      <c r="F50" t="str">
        <f t="shared" ref="F50:F68" si="4">IMPRODUCT(E50,E14)</f>
        <v>0.999407062433143-0.0000568084760208729i</v>
      </c>
      <c r="G50">
        <f t="shared" ref="G50:G68" si="5">IMREAL(F50)</f>
        <v>0.99940706243314303</v>
      </c>
      <c r="H50">
        <f t="shared" ref="H50:H68" si="6">IMAGINARY(F50)</f>
        <v>-5.6808476020872902E-5</v>
      </c>
    </row>
    <row r="51" spans="1:8">
      <c r="A51">
        <v>15.918279</v>
      </c>
      <c r="B51">
        <v>1.2804882299798599E-2</v>
      </c>
      <c r="C51">
        <v>-9.1459024512651599</v>
      </c>
      <c r="D51">
        <f t="shared" si="2"/>
        <v>1.0931945411095378E-3</v>
      </c>
      <c r="E51" t="str">
        <f t="shared" si="3"/>
        <v>0.0128048822997986-9.14590245126516i</v>
      </c>
      <c r="F51" t="str">
        <f t="shared" si="4"/>
        <v>0.999421680907437-0.0000597458541861887i</v>
      </c>
      <c r="G51">
        <f t="shared" si="5"/>
        <v>0.99942168090743699</v>
      </c>
      <c r="H51">
        <f t="shared" si="6"/>
        <v>-5.9745854186188698E-5</v>
      </c>
    </row>
    <row r="52" spans="1:8">
      <c r="A52">
        <v>15.918279</v>
      </c>
      <c r="B52">
        <v>1.27190468483049E-2</v>
      </c>
      <c r="C52">
        <v>-9.1460944671848399</v>
      </c>
      <c r="D52">
        <f t="shared" si="2"/>
        <v>1.0931715902471831E-3</v>
      </c>
      <c r="E52" t="str">
        <f t="shared" si="3"/>
        <v>0.0127190468483049-9.14609446718484i</v>
      </c>
      <c r="F52" t="str">
        <f t="shared" si="4"/>
        <v>0.999456967010097-0.0000558890692699734i</v>
      </c>
      <c r="G52">
        <f t="shared" si="5"/>
        <v>0.99945696701009701</v>
      </c>
      <c r="H52">
        <f t="shared" si="6"/>
        <v>-5.5889069269973397E-5</v>
      </c>
    </row>
    <row r="53" spans="1:8">
      <c r="A53">
        <v>15.918279</v>
      </c>
      <c r="B53">
        <v>1.2776073212273999E-2</v>
      </c>
      <c r="C53">
        <v>-9.1465839213391504</v>
      </c>
      <c r="D53">
        <f t="shared" si="2"/>
        <v>1.0931130921914257E-3</v>
      </c>
      <c r="E53" t="str">
        <f t="shared" si="3"/>
        <v>0.012776073212274-9.14658392133915i</v>
      </c>
      <c r="F53" t="str">
        <f t="shared" si="4"/>
        <v>0.999512853836658-0.0000455390362415578i</v>
      </c>
      <c r="G53">
        <f t="shared" si="5"/>
        <v>0.999512853836658</v>
      </c>
      <c r="H53">
        <f t="shared" si="6"/>
        <v>-4.5539036241557802E-5</v>
      </c>
    </row>
    <row r="54" spans="1:8">
      <c r="A54">
        <v>159.18338600000001</v>
      </c>
      <c r="B54">
        <v>1.9402048772948501E-3</v>
      </c>
      <c r="C54">
        <v>-0.91583240279099898</v>
      </c>
      <c r="D54">
        <f t="shared" si="2"/>
        <v>1.091707736942963E-3</v>
      </c>
      <c r="E54" t="str">
        <f t="shared" si="3"/>
        <v>0.00194020487729485-0.915832402790999i</v>
      </c>
      <c r="F54" t="str">
        <f t="shared" si="4"/>
        <v>0.999540645170824+0.0000705530617058246i</v>
      </c>
      <c r="G54">
        <f t="shared" si="5"/>
        <v>0.99954064517082397</v>
      </c>
      <c r="H54">
        <f t="shared" si="6"/>
        <v>7.05530617058246E-5</v>
      </c>
    </row>
    <row r="55" spans="1:8">
      <c r="A55">
        <v>159.18338600000001</v>
      </c>
      <c r="B55">
        <v>1.91931847940122E-3</v>
      </c>
      <c r="C55">
        <v>-0.91583816920436001</v>
      </c>
      <c r="D55">
        <f t="shared" si="2"/>
        <v>1.0917008631979148E-3</v>
      </c>
      <c r="E55" t="str">
        <f t="shared" si="3"/>
        <v>0.00191931847940122-0.91583816920436i</v>
      </c>
      <c r="F55" t="str">
        <f t="shared" si="4"/>
        <v>0.999537065892495+0.0000263586578958266i</v>
      </c>
      <c r="G55">
        <f t="shared" si="5"/>
        <v>0.99953706589249502</v>
      </c>
      <c r="H55">
        <f t="shared" si="6"/>
        <v>2.63586578958266E-5</v>
      </c>
    </row>
    <row r="56" spans="1:8">
      <c r="A56">
        <v>159.18338600000001</v>
      </c>
      <c r="B56">
        <v>1.93530543775449E-3</v>
      </c>
      <c r="C56">
        <v>-0.91583798795850202</v>
      </c>
      <c r="D56">
        <f t="shared" si="2"/>
        <v>1.0917010792473277E-3</v>
      </c>
      <c r="E56" t="str">
        <f t="shared" si="3"/>
        <v>0.00193530543775449-0.915837987958502i</v>
      </c>
      <c r="F56" t="str">
        <f t="shared" si="4"/>
        <v>0.99951661452683+0.0000647797720628829i</v>
      </c>
      <c r="G56">
        <f t="shared" si="5"/>
        <v>0.99951661452683005</v>
      </c>
      <c r="H56">
        <f t="shared" si="6"/>
        <v>6.4779772062882902E-5</v>
      </c>
    </row>
    <row r="57" spans="1:8">
      <c r="A57">
        <v>159.18338600000001</v>
      </c>
      <c r="B57">
        <v>1.9311800378260899E-3</v>
      </c>
      <c r="C57">
        <v>-0.91584478578276296</v>
      </c>
      <c r="D57">
        <f t="shared" si="2"/>
        <v>1.0916929761361921E-3</v>
      </c>
      <c r="E57" t="str">
        <f t="shared" si="3"/>
        <v>0.00193118003782609-0.915844785782763i</v>
      </c>
      <c r="F57" t="str">
        <f t="shared" si="4"/>
        <v>0.999483451157115+0.0000544736153820112i</v>
      </c>
      <c r="G57">
        <f t="shared" si="5"/>
        <v>0.99948345115711501</v>
      </c>
      <c r="H57">
        <f t="shared" si="6"/>
        <v>5.4473615382011203E-5</v>
      </c>
    </row>
    <row r="58" spans="1:8">
      <c r="A58">
        <v>159.18338600000001</v>
      </c>
      <c r="B58">
        <v>1.94210073536005E-3</v>
      </c>
      <c r="C58">
        <v>-0.91585139535354598</v>
      </c>
      <c r="D58">
        <f t="shared" si="2"/>
        <v>1.0916850975414378E-3</v>
      </c>
      <c r="E58" t="str">
        <f t="shared" si="3"/>
        <v>0.00194210073536005-0.915851395353546i</v>
      </c>
      <c r="F58" t="str">
        <f t="shared" si="4"/>
        <v>0.999476497676401+0.0000652891603377032i</v>
      </c>
      <c r="G58">
        <f t="shared" si="5"/>
        <v>0.99947649767640101</v>
      </c>
      <c r="H58">
        <f t="shared" si="6"/>
        <v>6.5289160337703202E-5</v>
      </c>
    </row>
    <row r="59" spans="1:8">
      <c r="A59">
        <v>1591.630257</v>
      </c>
      <c r="B59">
        <v>1.3770720189826299E-3</v>
      </c>
      <c r="C59">
        <v>-9.16522153688442E-2</v>
      </c>
      <c r="D59">
        <f t="shared" si="2"/>
        <v>1.091025693192756E-3</v>
      </c>
      <c r="E59" t="str">
        <f t="shared" si="3"/>
        <v>0.00137707201898263-0.0916522153688442i</v>
      </c>
      <c r="F59" t="str">
        <f t="shared" si="4"/>
        <v>0.999502822338683+0.000548220066754673i</v>
      </c>
      <c r="G59">
        <f t="shared" si="5"/>
        <v>0.99950282233868304</v>
      </c>
      <c r="H59">
        <f t="shared" si="6"/>
        <v>5.4822006675467295E-4</v>
      </c>
    </row>
    <row r="60" spans="1:8">
      <c r="A60">
        <v>1591.630257</v>
      </c>
      <c r="B60">
        <v>1.3749642249942799E-3</v>
      </c>
      <c r="C60">
        <v>-9.1653981885335398E-2</v>
      </c>
      <c r="D60">
        <f t="shared" si="2"/>
        <v>1.0910046650296616E-3</v>
      </c>
      <c r="E60" t="str">
        <f t="shared" si="3"/>
        <v>0.00137496422499428-0.0916539818853354i</v>
      </c>
      <c r="F60" t="str">
        <f t="shared" si="4"/>
        <v>0.999523431684359+0.00052805347170418i</v>
      </c>
      <c r="G60">
        <f t="shared" si="5"/>
        <v>0.99952343168435898</v>
      </c>
      <c r="H60">
        <f t="shared" si="6"/>
        <v>5.2805347170417996E-4</v>
      </c>
    </row>
    <row r="61" spans="1:8">
      <c r="A61">
        <v>1591.630257</v>
      </c>
      <c r="B61">
        <v>1.3750024772971601E-3</v>
      </c>
      <c r="C61">
        <v>-9.1658841106888406E-2</v>
      </c>
      <c r="D61">
        <f t="shared" si="2"/>
        <v>1.0909468262732607E-3</v>
      </c>
      <c r="E61" t="str">
        <f t="shared" si="3"/>
        <v>0.00137500247729716-0.0916588411068884i</v>
      </c>
      <c r="F61" t="str">
        <f t="shared" si="4"/>
        <v>0.999576482175627+0.00050833158656181i</v>
      </c>
      <c r="G61">
        <f t="shared" si="5"/>
        <v>0.999576482175627</v>
      </c>
      <c r="H61">
        <f t="shared" si="6"/>
        <v>5.0833158656180997E-4</v>
      </c>
    </row>
    <row r="62" spans="1:8">
      <c r="A62">
        <v>1591.630257</v>
      </c>
      <c r="B62">
        <v>1.3767772820815699E-3</v>
      </c>
      <c r="C62">
        <v>-9.1661175165495906E-2</v>
      </c>
      <c r="D62">
        <f t="shared" si="2"/>
        <v>1.090919046421807E-3</v>
      </c>
      <c r="E62" t="str">
        <f t="shared" si="3"/>
        <v>0.00137677728208157-0.0916611751654959i</v>
      </c>
      <c r="F62" t="str">
        <f t="shared" si="4"/>
        <v>0.999609266354561+0.000529506870955329i</v>
      </c>
      <c r="G62">
        <f t="shared" si="5"/>
        <v>0.99960926635456104</v>
      </c>
      <c r="H62">
        <f t="shared" si="6"/>
        <v>5.2950687095532903E-4</v>
      </c>
    </row>
    <row r="63" spans="1:8">
      <c r="A63">
        <v>1591.630257</v>
      </c>
      <c r="B63">
        <v>1.3767937729671699E-3</v>
      </c>
      <c r="C63">
        <v>-9.1660793568119805E-2</v>
      </c>
      <c r="D63">
        <f t="shared" si="2"/>
        <v>1.0909235880783806E-3</v>
      </c>
      <c r="E63" t="str">
        <f t="shared" si="3"/>
        <v>0.00137679377296717-0.0916607935681198i</v>
      </c>
      <c r="F63" t="str">
        <f t="shared" si="4"/>
        <v>0.999635561767553+0.000533878684067922i</v>
      </c>
      <c r="G63">
        <f t="shared" si="5"/>
        <v>0.99963556176755297</v>
      </c>
      <c r="H63">
        <f t="shared" si="6"/>
        <v>5.3387868406792199E-4</v>
      </c>
    </row>
    <row r="64" spans="1:8">
      <c r="A64">
        <v>15918.331518999999</v>
      </c>
      <c r="B64">
        <v>1.3455304402645899E-3</v>
      </c>
      <c r="C64">
        <v>-9.1614762943251198E-3</v>
      </c>
      <c r="D64">
        <f t="shared" si="2"/>
        <v>1.0913325893152021E-3</v>
      </c>
      <c r="E64" t="str">
        <f t="shared" si="3"/>
        <v>0.00134553044026459-0.00916147629432512i</v>
      </c>
      <c r="F64" t="str">
        <f t="shared" si="4"/>
        <v>1.00061721702679+0.00527358402103312i</v>
      </c>
      <c r="G64">
        <f t="shared" si="5"/>
        <v>1.00061721702679</v>
      </c>
      <c r="H64">
        <f t="shared" si="6"/>
        <v>5.2735840210331201E-3</v>
      </c>
    </row>
    <row r="65" spans="1:8">
      <c r="A65">
        <v>15918.331518999999</v>
      </c>
      <c r="B65">
        <v>1.34523783526942E-3</v>
      </c>
      <c r="C65">
        <v>-9.1613014458904601E-3</v>
      </c>
      <c r="D65">
        <f t="shared" si="2"/>
        <v>1.091353417992881E-3</v>
      </c>
      <c r="E65" t="str">
        <f t="shared" si="3"/>
        <v>0.00134523783526942-0.00916130144589046i</v>
      </c>
      <c r="F65" t="str">
        <f t="shared" si="4"/>
        <v>1.00069466905688+0.00485267861738262i</v>
      </c>
      <c r="G65">
        <f t="shared" si="5"/>
        <v>1.0006946690568801</v>
      </c>
      <c r="H65">
        <f t="shared" si="6"/>
        <v>4.8526786173826199E-3</v>
      </c>
    </row>
    <row r="66" spans="1:8">
      <c r="A66">
        <v>15918.331518999999</v>
      </c>
      <c r="B66">
        <v>1.3455572110980399E-3</v>
      </c>
      <c r="C66">
        <v>-9.1613577839278707E-3</v>
      </c>
      <c r="D66">
        <f t="shared" si="2"/>
        <v>1.0913467066831449E-3</v>
      </c>
      <c r="E66" t="str">
        <f t="shared" si="3"/>
        <v>0.00134555721109804-0.00916135778392787i</v>
      </c>
      <c r="F66" t="str">
        <f t="shared" si="4"/>
        <v>1.00069747708405+0.00549286311352937i</v>
      </c>
      <c r="G66">
        <f t="shared" si="5"/>
        <v>1.00069747708405</v>
      </c>
      <c r="H66">
        <f t="shared" si="6"/>
        <v>5.4928631135293697E-3</v>
      </c>
    </row>
    <row r="67" spans="1:8">
      <c r="A67">
        <v>15918.331518999999</v>
      </c>
      <c r="B67">
        <v>1.34432715273457E-3</v>
      </c>
      <c r="C67">
        <v>-9.1618900785704893E-3</v>
      </c>
      <c r="D67">
        <f t="shared" si="2"/>
        <v>1.0912833007701479E-3</v>
      </c>
      <c r="E67" t="str">
        <f t="shared" si="3"/>
        <v>0.00134432715273457-0.00916189007857049i</v>
      </c>
      <c r="F67" t="str">
        <f t="shared" si="4"/>
        <v>1.00071514729012+0.00500016172455628i</v>
      </c>
      <c r="G67">
        <f t="shared" si="5"/>
        <v>1.0007151472901199</v>
      </c>
      <c r="H67">
        <f t="shared" si="6"/>
        <v>5.0001617245562799E-3</v>
      </c>
    </row>
    <row r="68" spans="1:8">
      <c r="A68">
        <v>15918.331518999999</v>
      </c>
      <c r="B68">
        <v>1.3430231433537001E-3</v>
      </c>
      <c r="C68">
        <v>-9.1616361849631896E-3</v>
      </c>
      <c r="D68">
        <f t="shared" si="2"/>
        <v>1.0913135431688012E-3</v>
      </c>
      <c r="E68" t="str">
        <f t="shared" si="3"/>
        <v>0.0013430231433537-0.00916163618496319i</v>
      </c>
      <c r="F68" t="str">
        <f t="shared" si="4"/>
        <v>1.00071756899181+0.00470378590974621i</v>
      </c>
      <c r="G68">
        <f t="shared" si="5"/>
        <v>1.00071756899181</v>
      </c>
      <c r="H68">
        <f t="shared" si="6"/>
        <v>4.70378590974621E-3</v>
      </c>
    </row>
    <row r="69" spans="1:8">
      <c r="A69" t="s">
        <v>23</v>
      </c>
      <c r="B69" t="s">
        <v>1</v>
      </c>
      <c r="C69" t="s">
        <v>2</v>
      </c>
      <c r="D69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32" workbookViewId="0">
      <selection activeCell="D49" sqref="D49:E68"/>
    </sheetView>
  </sheetViews>
  <sheetFormatPr baseColWidth="10" defaultColWidth="30" defaultRowHeight="15" x14ac:dyDescent="0"/>
  <cols>
    <col min="1" max="4" width="30" style="2"/>
    <col min="5" max="5" width="44.6640625" style="2" customWidth="1"/>
    <col min="6" max="6" width="43.5" style="2" customWidth="1"/>
    <col min="7" max="16384" width="30" style="2"/>
  </cols>
  <sheetData>
    <row r="1" spans="1:5">
      <c r="A1" s="2" t="s">
        <v>0</v>
      </c>
      <c r="B1" s="2" t="s">
        <v>1</v>
      </c>
      <c r="C1" s="2" t="s">
        <v>2</v>
      </c>
      <c r="D1" s="2" t="s">
        <v>24</v>
      </c>
    </row>
    <row r="2" spans="1:5">
      <c r="A2" s="2" t="s">
        <v>3</v>
      </c>
      <c r="B2" s="2" t="s">
        <v>4</v>
      </c>
      <c r="C2" s="2" t="s">
        <v>2</v>
      </c>
      <c r="D2" s="2" t="s">
        <v>25</v>
      </c>
    </row>
    <row r="3" spans="1:5">
      <c r="A3" s="2" t="s">
        <v>5</v>
      </c>
      <c r="B3" s="2" t="s">
        <v>2</v>
      </c>
      <c r="C3" s="2" t="s">
        <v>6</v>
      </c>
    </row>
    <row r="4" spans="1:5">
      <c r="A4" s="2" t="s">
        <v>7</v>
      </c>
    </row>
    <row r="5" spans="1:5">
      <c r="B5" s="2" t="s">
        <v>8</v>
      </c>
      <c r="C5" s="2" t="s">
        <v>9</v>
      </c>
    </row>
    <row r="6" spans="1:5">
      <c r="B6" s="2" t="s">
        <v>10</v>
      </c>
      <c r="C6" s="2" t="s">
        <v>11</v>
      </c>
      <c r="D6" s="3" t="s">
        <v>59</v>
      </c>
    </row>
    <row r="7" spans="1:5">
      <c r="B7" s="2" t="s">
        <v>12</v>
      </c>
      <c r="C7" s="2" t="s">
        <v>13</v>
      </c>
    </row>
    <row r="8" spans="1:5">
      <c r="B8" s="2" t="s">
        <v>14</v>
      </c>
      <c r="C8" s="2" t="s">
        <v>43</v>
      </c>
    </row>
    <row r="9" spans="1:5">
      <c r="B9" s="2" t="s">
        <v>15</v>
      </c>
      <c r="C9" s="2" t="s">
        <v>16</v>
      </c>
    </row>
    <row r="10" spans="1:5">
      <c r="B10" s="2" t="s">
        <v>17</v>
      </c>
      <c r="C10" s="2" t="s">
        <v>18</v>
      </c>
    </row>
    <row r="11" spans="1:5">
      <c r="A11" s="2" t="s">
        <v>19</v>
      </c>
    </row>
    <row r="12" spans="1:5">
      <c r="A12" s="2" t="s">
        <v>20</v>
      </c>
      <c r="B12" s="2">
        <v>3348000</v>
      </c>
      <c r="C12" s="2" t="s">
        <v>21</v>
      </c>
      <c r="D12" s="2" t="s">
        <v>22</v>
      </c>
      <c r="E12" s="2">
        <v>3407872</v>
      </c>
    </row>
    <row r="13" spans="1:5">
      <c r="A13" s="2">
        <v>15.918279</v>
      </c>
      <c r="B13" s="2">
        <v>-0.66951253613988404</v>
      </c>
      <c r="C13" s="2">
        <v>-100.82058231748699</v>
      </c>
      <c r="D13" s="2">
        <f>-1/C13/2/PI()/A13</f>
        <v>9.9168745145298095E-5</v>
      </c>
      <c r="E13" s="2" t="str">
        <f>COMPLEX(B13,C13)</f>
        <v>-0.669512536139884-100.820582317487i</v>
      </c>
    </row>
    <row r="14" spans="1:5">
      <c r="A14" s="2">
        <v>15.918279</v>
      </c>
      <c r="B14" s="2">
        <v>-0.65563932523800805</v>
      </c>
      <c r="C14" s="2">
        <v>-100.812543773058</v>
      </c>
      <c r="D14" s="2">
        <f t="shared" ref="D14:D32" si="0">-1/C14/2/PI()/A14</f>
        <v>9.9176652617265202E-5</v>
      </c>
      <c r="E14" s="2" t="str">
        <f t="shared" ref="E14:E32" si="1">COMPLEX(B14,C14)</f>
        <v>-0.655639325238008-100.812543773058i</v>
      </c>
    </row>
    <row r="15" spans="1:5">
      <c r="A15" s="2">
        <v>15.918279</v>
      </c>
      <c r="B15" s="2">
        <v>-0.66281172770237295</v>
      </c>
      <c r="C15" s="2">
        <v>-100.81749234190301</v>
      </c>
      <c r="D15" s="2">
        <f t="shared" si="0"/>
        <v>9.9171784588097904E-5</v>
      </c>
      <c r="E15" s="2" t="str">
        <f t="shared" si="1"/>
        <v>-0.662811727702373-100.817492341903i</v>
      </c>
    </row>
    <row r="16" spans="1:5">
      <c r="A16" s="2">
        <v>15.918279</v>
      </c>
      <c r="B16" s="2">
        <v>-0.65905444567364302</v>
      </c>
      <c r="C16" s="2">
        <v>-100.828946879957</v>
      </c>
      <c r="D16" s="2">
        <f t="shared" si="0"/>
        <v>9.9160518309756232E-5</v>
      </c>
      <c r="E16" s="2" t="str">
        <f t="shared" si="1"/>
        <v>-0.659054445673643-100.828946879957i</v>
      </c>
    </row>
    <row r="17" spans="1:5">
      <c r="A17" s="2">
        <v>15.918279</v>
      </c>
      <c r="B17" s="2">
        <v>-0.65841547788164301</v>
      </c>
      <c r="C17" s="2">
        <v>-100.83063459145799</v>
      </c>
      <c r="D17" s="2">
        <f t="shared" si="0"/>
        <v>9.9158858552799684E-5</v>
      </c>
      <c r="E17" s="2" t="str">
        <f t="shared" si="1"/>
        <v>-0.658415477881643-100.830634591458i</v>
      </c>
    </row>
    <row r="18" spans="1:5">
      <c r="A18" s="2">
        <v>159.18338600000001</v>
      </c>
      <c r="B18" s="2">
        <v>9.6152857592552796E-3</v>
      </c>
      <c r="C18" s="2">
        <v>-10.085179797836201</v>
      </c>
      <c r="D18" s="2">
        <f t="shared" si="0"/>
        <v>9.9137679239443197E-5</v>
      </c>
      <c r="E18" s="2" t="str">
        <f t="shared" si="1"/>
        <v>0.00961528575925528-10.0851797978362i</v>
      </c>
    </row>
    <row r="19" spans="1:5">
      <c r="A19" s="2">
        <v>159.18338600000001</v>
      </c>
      <c r="B19" s="2">
        <v>9.6548698264038793E-3</v>
      </c>
      <c r="C19" s="2">
        <v>-10.0853504689413</v>
      </c>
      <c r="D19" s="2">
        <f t="shared" si="0"/>
        <v>9.9136001564748108E-5</v>
      </c>
      <c r="E19" s="2" t="str">
        <f t="shared" si="1"/>
        <v>0.00965486982640388-10.0853504689413i</v>
      </c>
    </row>
    <row r="20" spans="1:5">
      <c r="A20" s="2">
        <v>159.18338600000001</v>
      </c>
      <c r="B20" s="2">
        <v>9.6062721602149393E-3</v>
      </c>
      <c r="C20" s="2">
        <v>-10.084978835992899</v>
      </c>
      <c r="D20" s="2">
        <f t="shared" si="0"/>
        <v>9.9139654740937493E-5</v>
      </c>
      <c r="E20" s="2" t="str">
        <f t="shared" si="1"/>
        <v>0.00960627216021494-10.0849788359929i</v>
      </c>
    </row>
    <row r="21" spans="1:5">
      <c r="A21" s="2">
        <v>159.18338600000001</v>
      </c>
      <c r="B21" s="2">
        <v>9.6392718761978604E-3</v>
      </c>
      <c r="C21" s="2">
        <v>-10.0850235594311</v>
      </c>
      <c r="D21" s="2">
        <f t="shared" si="0"/>
        <v>9.9139215092363951E-5</v>
      </c>
      <c r="E21" s="2" t="str">
        <f t="shared" si="1"/>
        <v>0.00963927187619786-10.0850235594311i</v>
      </c>
    </row>
    <row r="22" spans="1:5">
      <c r="A22" s="2">
        <v>159.18338600000001</v>
      </c>
      <c r="B22" s="2">
        <v>9.6211201709872091E-3</v>
      </c>
      <c r="C22" s="2">
        <v>-10.084994074053499</v>
      </c>
      <c r="D22" s="2">
        <f t="shared" si="0"/>
        <v>9.9139504944511687E-5</v>
      </c>
      <c r="E22" s="2" t="str">
        <f t="shared" si="1"/>
        <v>0.00962112017098721-10.0849940740535i</v>
      </c>
    </row>
    <row r="23" spans="1:5">
      <c r="A23" s="2">
        <v>1591.630257</v>
      </c>
      <c r="B23" s="2">
        <v>4.1142053632360204E-3</v>
      </c>
      <c r="C23" s="2">
        <v>-1.0092030806891099</v>
      </c>
      <c r="D23" s="2">
        <f t="shared" si="0"/>
        <v>9.9083052478561481E-5</v>
      </c>
      <c r="E23" s="2" t="str">
        <f t="shared" si="1"/>
        <v>0.00411420536323602-1.00920308068911i</v>
      </c>
    </row>
    <row r="24" spans="1:5">
      <c r="A24" s="2">
        <v>1591.630257</v>
      </c>
      <c r="B24" s="2">
        <v>4.1216652544521703E-3</v>
      </c>
      <c r="C24" s="2">
        <v>-1.00920635010292</v>
      </c>
      <c r="D24" s="2">
        <f t="shared" si="0"/>
        <v>9.9082731490192662E-5</v>
      </c>
      <c r="E24" s="2" t="str">
        <f t="shared" si="1"/>
        <v>0.00412166525445217-1.00920635010292i</v>
      </c>
    </row>
    <row r="25" spans="1:5">
      <c r="A25" s="2">
        <v>1591.630257</v>
      </c>
      <c r="B25" s="2">
        <v>4.1237065781545498E-3</v>
      </c>
      <c r="C25" s="2">
        <v>-1.00919643814872</v>
      </c>
      <c r="D25" s="2">
        <f t="shared" si="0"/>
        <v>9.908370464413914E-5</v>
      </c>
      <c r="E25" s="2" t="str">
        <f t="shared" si="1"/>
        <v>0.00412370657815455-1.00919643814872i</v>
      </c>
    </row>
    <row r="26" spans="1:5">
      <c r="A26" s="2">
        <v>1591.630257</v>
      </c>
      <c r="B26" s="2">
        <v>4.1121674322605302E-3</v>
      </c>
      <c r="C26" s="2">
        <v>-1.0092017933352899</v>
      </c>
      <c r="D26" s="2">
        <f t="shared" si="0"/>
        <v>9.908317887047533E-5</v>
      </c>
      <c r="E26" s="2" t="str">
        <f t="shared" si="1"/>
        <v>0.00411216743226053-1.00920179333529i</v>
      </c>
    </row>
    <row r="27" spans="1:5">
      <c r="A27" s="2">
        <v>1591.630257</v>
      </c>
      <c r="B27" s="2">
        <v>4.1196251209356799E-3</v>
      </c>
      <c r="C27" s="2">
        <v>-1.0092059561542699</v>
      </c>
      <c r="D27" s="2">
        <f t="shared" si="0"/>
        <v>9.9082770167638131E-5</v>
      </c>
      <c r="E27" s="2" t="str">
        <f t="shared" si="1"/>
        <v>0.00411962512093568-1.00920595615427i</v>
      </c>
    </row>
    <row r="28" spans="1:5">
      <c r="A28" s="2">
        <v>15918.331518999999</v>
      </c>
      <c r="B28" s="2">
        <v>3.8221112452792301E-3</v>
      </c>
      <c r="C28" s="2">
        <v>-0.100934908154921</v>
      </c>
      <c r="D28" s="2">
        <f t="shared" si="0"/>
        <v>9.9056092971222675E-5</v>
      </c>
      <c r="E28" s="2" t="str">
        <f t="shared" si="1"/>
        <v>0.00382211124527923-0.100934908154921i</v>
      </c>
    </row>
    <row r="29" spans="1:5">
      <c r="A29" s="2">
        <v>15918.331518999999</v>
      </c>
      <c r="B29" s="2">
        <v>3.8156613335664502E-3</v>
      </c>
      <c r="C29" s="2">
        <v>-0.100935495845995</v>
      </c>
      <c r="D29" s="2">
        <f t="shared" si="0"/>
        <v>9.9055516222862979E-5</v>
      </c>
      <c r="E29" s="2" t="str">
        <f t="shared" si="1"/>
        <v>0.00381566133356645-0.100935495845995i</v>
      </c>
    </row>
    <row r="30" spans="1:5">
      <c r="A30" s="2">
        <v>15918.331518999999</v>
      </c>
      <c r="B30" s="2">
        <v>3.8137789213771298E-3</v>
      </c>
      <c r="C30" s="2">
        <v>-0.100934398295373</v>
      </c>
      <c r="D30" s="2">
        <f t="shared" si="0"/>
        <v>9.9056593342707928E-5</v>
      </c>
      <c r="E30" s="2" t="str">
        <f t="shared" si="1"/>
        <v>0.00381377892137713-0.100934398295373i</v>
      </c>
    </row>
    <row r="31" spans="1:5">
      <c r="A31" s="2">
        <v>15918.331518999999</v>
      </c>
      <c r="B31" s="2">
        <v>3.8218168911831299E-3</v>
      </c>
      <c r="C31" s="2">
        <v>-0.10093596736697499</v>
      </c>
      <c r="D31" s="2">
        <f t="shared" si="0"/>
        <v>9.9055053486384558E-5</v>
      </c>
      <c r="E31" s="2" t="str">
        <f t="shared" si="1"/>
        <v>0.00382181689118313-0.100935967366975i</v>
      </c>
    </row>
    <row r="32" spans="1:5">
      <c r="A32" s="2">
        <v>15918.331518999999</v>
      </c>
      <c r="B32" s="2">
        <v>3.81488976169385E-3</v>
      </c>
      <c r="C32" s="2">
        <v>-0.100935798798542</v>
      </c>
      <c r="D32" s="2">
        <f t="shared" si="0"/>
        <v>9.905521891386763E-5</v>
      </c>
      <c r="E32" s="2" t="str">
        <f t="shared" si="1"/>
        <v>0.00381488976169385-0.100935798798542i</v>
      </c>
    </row>
    <row r="33" spans="1:5">
      <c r="A33" s="2" t="s">
        <v>23</v>
      </c>
      <c r="B33" s="2" t="s">
        <v>1</v>
      </c>
      <c r="C33" s="2" t="s">
        <v>2</v>
      </c>
      <c r="D33" s="2" t="s">
        <v>26</v>
      </c>
    </row>
    <row r="37" spans="1:5">
      <c r="A37" s="2" t="s">
        <v>0</v>
      </c>
      <c r="B37" s="2" t="s">
        <v>1</v>
      </c>
      <c r="C37" s="2" t="s">
        <v>2</v>
      </c>
      <c r="D37" s="2" t="s">
        <v>24</v>
      </c>
    </row>
    <row r="38" spans="1:5">
      <c r="A38" s="2" t="s">
        <v>3</v>
      </c>
      <c r="B38" s="2" t="s">
        <v>4</v>
      </c>
      <c r="C38" s="2" t="s">
        <v>2</v>
      </c>
      <c r="D38" s="2" t="s">
        <v>25</v>
      </c>
    </row>
    <row r="39" spans="1:5">
      <c r="A39" s="2" t="s">
        <v>5</v>
      </c>
      <c r="B39" s="2" t="s">
        <v>2</v>
      </c>
      <c r="C39" s="2" t="s">
        <v>6</v>
      </c>
    </row>
    <row r="40" spans="1:5">
      <c r="A40" s="2" t="s">
        <v>7</v>
      </c>
    </row>
    <row r="41" spans="1:5">
      <c r="B41" s="2" t="s">
        <v>8</v>
      </c>
      <c r="C41" s="2" t="s">
        <v>9</v>
      </c>
    </row>
    <row r="42" spans="1:5">
      <c r="B42" s="2" t="s">
        <v>10</v>
      </c>
      <c r="C42" s="2" t="s">
        <v>11</v>
      </c>
    </row>
    <row r="43" spans="1:5">
      <c r="B43" s="2" t="s">
        <v>12</v>
      </c>
      <c r="C43" s="2" t="s">
        <v>13</v>
      </c>
    </row>
    <row r="44" spans="1:5">
      <c r="B44" s="2" t="s">
        <v>14</v>
      </c>
      <c r="C44" s="2" t="s">
        <v>43</v>
      </c>
    </row>
    <row r="45" spans="1:5">
      <c r="B45" s="2" t="s">
        <v>15</v>
      </c>
      <c r="C45" s="2" t="s">
        <v>16</v>
      </c>
    </row>
    <row r="46" spans="1:5">
      <c r="B46" s="2" t="s">
        <v>17</v>
      </c>
      <c r="C46" s="2" t="s">
        <v>18</v>
      </c>
    </row>
    <row r="47" spans="1:5">
      <c r="A47" s="2" t="s">
        <v>19</v>
      </c>
    </row>
    <row r="48" spans="1:5">
      <c r="A48" s="2" t="s">
        <v>20</v>
      </c>
      <c r="B48" s="2">
        <v>3348000</v>
      </c>
      <c r="C48" s="2" t="s">
        <v>21</v>
      </c>
      <c r="D48" s="2" t="s">
        <v>22</v>
      </c>
      <c r="E48" s="2">
        <v>3407872</v>
      </c>
    </row>
    <row r="49" spans="1:7">
      <c r="A49" s="2">
        <v>15.918279</v>
      </c>
      <c r="B49" s="2">
        <v>-6.5247892216764602E-5</v>
      </c>
      <c r="C49" s="2">
        <v>9.9145620265220398E-3</v>
      </c>
      <c r="D49" s="2">
        <f>C49/2/PI()/A49</f>
        <v>9.91282760600051E-5</v>
      </c>
      <c r="E49" s="2" t="str">
        <f>COMPLEX(B49,C49)</f>
        <v>-0.0000652478922167646+0.00991456202652204i</v>
      </c>
      <c r="F49" s="2" t="str">
        <f>IMPRODUCT(E13,E49)</f>
        <v>0.999635601218592-0.0000595930788101244i</v>
      </c>
      <c r="G49" s="2">
        <f>IMABS(F49)</f>
        <v>0.99963560299490684</v>
      </c>
    </row>
    <row r="50" spans="1:7">
      <c r="A50" s="2">
        <v>15.918279</v>
      </c>
      <c r="B50" s="2">
        <v>-6.6449706524485997E-5</v>
      </c>
      <c r="C50" s="2">
        <v>9.9150505581749801E-3</v>
      </c>
      <c r="D50" s="2">
        <f t="shared" ref="D50:D68" si="2">C50/2/PI()/A50</f>
        <v>9.9133160521913471E-5</v>
      </c>
      <c r="E50" s="2" t="str">
        <f t="shared" ref="E50:E68" si="3">COMPLEX(B50,C50)</f>
        <v>-0.000066449706524486+0.00991505055817498i</v>
      </c>
      <c r="F50" s="2" t="str">
        <f t="shared" ref="F50:F68" si="4">IMPRODUCT(E14,E50)</f>
        <v>0.999605035448846+0.000198266890044023i</v>
      </c>
      <c r="G50" s="2">
        <f t="shared" ref="G50:G68" si="5">IMABS(F50)</f>
        <v>0.99960505511149178</v>
      </c>
    </row>
    <row r="51" spans="1:7">
      <c r="A51" s="2">
        <v>15.918279</v>
      </c>
      <c r="B51" s="2">
        <v>-6.66305366323679E-5</v>
      </c>
      <c r="C51" s="2">
        <v>9.9132129887739093E-3</v>
      </c>
      <c r="D51" s="2">
        <f t="shared" si="2"/>
        <v>9.9114788042485569E-5</v>
      </c>
      <c r="E51" s="2" t="str">
        <f t="shared" si="3"/>
        <v>-0.0000666305366323679+0.00991321298877391i</v>
      </c>
      <c r="F51" s="2" t="str">
        <f t="shared" si="4"/>
        <v>0.99946943808047+0.0001469297884998i</v>
      </c>
      <c r="G51" s="2">
        <f t="shared" si="5"/>
        <v>0.99946944888038125</v>
      </c>
    </row>
    <row r="52" spans="1:7">
      <c r="A52" s="2">
        <v>15.918279</v>
      </c>
      <c r="B52" s="2">
        <v>-6.6008470192674897E-5</v>
      </c>
      <c r="C52" s="2">
        <v>9.9141211011662296E-3</v>
      </c>
      <c r="D52" s="2">
        <f t="shared" si="2"/>
        <v>9.9123867577787151E-5</v>
      </c>
      <c r="E52" s="2" t="str">
        <f t="shared" si="3"/>
        <v>-0.0000660084701926749+0.00991412110116623i</v>
      </c>
      <c r="F52" s="2" t="str">
        <f t="shared" si="4"/>
        <v>0.999673893046683+0.000121618948013965i</v>
      </c>
      <c r="G52" s="2">
        <f t="shared" si="5"/>
        <v>0.99967390044467974</v>
      </c>
    </row>
    <row r="53" spans="1:7">
      <c r="A53" s="2">
        <v>15.918279</v>
      </c>
      <c r="B53" s="2">
        <v>-6.6284608147110799E-5</v>
      </c>
      <c r="C53" s="2">
        <v>9.9133548958169494E-3</v>
      </c>
      <c r="D53" s="2">
        <f t="shared" si="2"/>
        <v>9.911620686466852E-5</v>
      </c>
      <c r="E53" s="2" t="str">
        <f t="shared" si="3"/>
        <v>-0.0000662846081471108+0.00991335489581695i</v>
      </c>
      <c r="F53" s="2" t="str">
        <f t="shared" si="4"/>
        <v>0.999613507887509+0.000156412801979667i</v>
      </c>
      <c r="G53" s="2">
        <f t="shared" si="5"/>
        <v>0.99961352012472082</v>
      </c>
    </row>
    <row r="54" spans="1:7">
      <c r="A54" s="2">
        <v>159.18338600000001</v>
      </c>
      <c r="B54" s="2">
        <v>9.6628471756736307E-5</v>
      </c>
      <c r="C54" s="2">
        <v>9.9112829284569007E-2</v>
      </c>
      <c r="D54" s="2">
        <f t="shared" si="2"/>
        <v>9.9095119791347549E-5</v>
      </c>
      <c r="E54" s="2" t="str">
        <f t="shared" si="3"/>
        <v>0.0000966284717567363+0.099112829284569i</v>
      </c>
      <c r="F54" s="2" t="str">
        <f t="shared" si="4"/>
        <v>0.999571632717492-0.0000215173352774069i</v>
      </c>
      <c r="G54" s="2">
        <f t="shared" si="5"/>
        <v>0.99957163294908924</v>
      </c>
    </row>
    <row r="55" spans="1:7">
      <c r="A55" s="2">
        <v>159.18338600000001</v>
      </c>
      <c r="B55" s="2">
        <v>9.5783929574833897E-5</v>
      </c>
      <c r="C55" s="2">
        <v>9.9112293379927802E-2</v>
      </c>
      <c r="D55" s="2">
        <f t="shared" si="2"/>
        <v>9.9094583982461872E-5</v>
      </c>
      <c r="E55" s="2" t="str">
        <f t="shared" si="3"/>
        <v>0.0000957839295748339+0.0991122933799278i</v>
      </c>
      <c r="F55" s="2" t="str">
        <f t="shared" si="4"/>
        <v>0.999583139298474-9.09820827503765E-06i</v>
      </c>
      <c r="G55" s="2">
        <f t="shared" si="5"/>
        <v>0.99958313933987997</v>
      </c>
    </row>
    <row r="56" spans="1:7">
      <c r="A56" s="2">
        <v>159.18338600000001</v>
      </c>
      <c r="B56" s="2">
        <v>9.5832115200062895E-5</v>
      </c>
      <c r="C56" s="2">
        <v>9.9111622822827997E-2</v>
      </c>
      <c r="D56" s="2">
        <f t="shared" si="2"/>
        <v>9.9093913545177285E-5</v>
      </c>
      <c r="E56" s="2" t="str">
        <f t="shared" si="3"/>
        <v>0.0000958321152000629+0.099111622822828i</v>
      </c>
      <c r="F56" s="2" t="str">
        <f t="shared" si="4"/>
        <v>0.999539539158511-0.0000143716305244115i</v>
      </c>
      <c r="G56" s="2">
        <f t="shared" si="5"/>
        <v>0.99953953926183048</v>
      </c>
    </row>
    <row r="57" spans="1:7">
      <c r="A57" s="2">
        <v>159.18338600000001</v>
      </c>
      <c r="B57" s="2">
        <v>9.5678322129120607E-5</v>
      </c>
      <c r="C57" s="2">
        <v>9.9110569870481099E-2</v>
      </c>
      <c r="D57" s="2">
        <f t="shared" si="2"/>
        <v>9.909286078097206E-5</v>
      </c>
      <c r="E57" s="2" t="str">
        <f t="shared" si="3"/>
        <v>0.0000956783221291206+0.0991105698704811i</v>
      </c>
      <c r="F57" s="2" t="str">
        <f t="shared" si="4"/>
        <v>0.999533354401804-0.0000095644040125478i</v>
      </c>
      <c r="G57" s="2">
        <f t="shared" si="5"/>
        <v>0.9995333544475643</v>
      </c>
    </row>
    <row r="58" spans="1:7">
      <c r="A58" s="2">
        <v>159.18338600000001</v>
      </c>
      <c r="B58" s="2">
        <v>9.5576926850120898E-5</v>
      </c>
      <c r="C58" s="2">
        <v>9.9111311452723797E-2</v>
      </c>
      <c r="D58" s="2">
        <f t="shared" si="2"/>
        <v>9.9093602230708751E-5</v>
      </c>
      <c r="E58" s="2" t="str">
        <f t="shared" si="3"/>
        <v>0.0000955769268501209+0.0991113114527238i</v>
      </c>
      <c r="F58" s="2" t="str">
        <f t="shared" si="4"/>
        <v>0.999537908229489-0.0000103309031089175i</v>
      </c>
      <c r="G58" s="2">
        <f t="shared" si="5"/>
        <v>0.99953790828287759</v>
      </c>
    </row>
    <row r="59" spans="1:7">
      <c r="A59" s="2">
        <v>1591.630257</v>
      </c>
      <c r="B59" s="2">
        <v>4.1658133705681196E-3</v>
      </c>
      <c r="C59" s="2">
        <v>0.99041788728213498</v>
      </c>
      <c r="D59" s="2">
        <f t="shared" si="2"/>
        <v>9.9036759193491132E-5</v>
      </c>
      <c r="E59" s="2" t="str">
        <f t="shared" si="3"/>
        <v>0.00416581337056812+0.990417887282135i</v>
      </c>
      <c r="F59" s="2" t="str">
        <f t="shared" si="4"/>
        <v>0.999549922026442-0.000129369103452182i</v>
      </c>
      <c r="G59" s="2">
        <f t="shared" si="5"/>
        <v>0.99954993039839235</v>
      </c>
    </row>
    <row r="60" spans="1:7">
      <c r="A60" s="2">
        <v>1591.630257</v>
      </c>
      <c r="B60" s="2">
        <v>4.1538043498062704E-3</v>
      </c>
      <c r="C60" s="2">
        <v>0.99043781719943103</v>
      </c>
      <c r="D60" s="2">
        <f t="shared" si="2"/>
        <v>9.9038752084012739E-5</v>
      </c>
      <c r="E60" s="2" t="str">
        <f t="shared" si="3"/>
        <v>0.00415380434980627+0.990437817199431i</v>
      </c>
      <c r="F60" s="2" t="str">
        <f t="shared" si="4"/>
        <v>0.999573255090803-0.000109792589063275i</v>
      </c>
      <c r="G60" s="2">
        <f t="shared" si="5"/>
        <v>0.99957326112058242</v>
      </c>
    </row>
    <row r="61" spans="1:7">
      <c r="A61" s="2">
        <v>1591.630257</v>
      </c>
      <c r="B61" s="2">
        <v>4.1629969204650596E-3</v>
      </c>
      <c r="C61" s="2">
        <v>0.99041473692423299</v>
      </c>
      <c r="D61" s="2">
        <f t="shared" si="2"/>
        <v>9.9036444173699074E-5</v>
      </c>
      <c r="E61" s="2" t="str">
        <f t="shared" si="3"/>
        <v>0.00416299692046506+0.990414736924233i</v>
      </c>
      <c r="F61" s="2" t="str">
        <f t="shared" si="4"/>
        <v>0.999540191771723-0.000117101898401761i</v>
      </c>
      <c r="G61" s="2">
        <f t="shared" si="5"/>
        <v>0.99954019863130428</v>
      </c>
    </row>
    <row r="62" spans="1:7">
      <c r="A62" s="2">
        <v>1591.630257</v>
      </c>
      <c r="B62" s="2">
        <v>4.1632360496053501E-3</v>
      </c>
      <c r="C62" s="2">
        <v>0.990415246996595</v>
      </c>
      <c r="D62" s="2">
        <f t="shared" si="2"/>
        <v>9.9036495178345016E-5</v>
      </c>
      <c r="E62" s="2" t="str">
        <f t="shared" si="3"/>
        <v>0.00416323604960535+0.990415246996595i</v>
      </c>
      <c r="F62" s="2" t="str">
        <f t="shared" si="4"/>
        <v>0.999545963339274-0.00012879196422618i</v>
      </c>
      <c r="G62" s="2">
        <f t="shared" si="5"/>
        <v>0.9995459716367262</v>
      </c>
    </row>
    <row r="63" spans="1:7">
      <c r="A63" s="2">
        <v>1591.630257</v>
      </c>
      <c r="B63" s="2">
        <v>4.1630610077351598E-3</v>
      </c>
      <c r="C63" s="2">
        <v>0.99041728967930598</v>
      </c>
      <c r="D63" s="2">
        <f t="shared" si="2"/>
        <v>9.9036699436242965E-5</v>
      </c>
      <c r="E63" s="2" t="str">
        <f t="shared" si="3"/>
        <v>0.00416306100773516+0.990417289679306i</v>
      </c>
      <c r="F63" s="2" t="str">
        <f t="shared" si="4"/>
        <v>0.999552178073232-0.000121238018068021i</v>
      </c>
      <c r="G63" s="2">
        <f t="shared" si="5"/>
        <v>0.99955218542585311</v>
      </c>
    </row>
    <row r="64" spans="1:7">
      <c r="A64" s="2">
        <v>15918.331518999999</v>
      </c>
      <c r="B64" s="2">
        <v>0.38619457410223901</v>
      </c>
      <c r="C64" s="2">
        <v>9.8887006013428493</v>
      </c>
      <c r="D64" s="2">
        <f t="shared" si="2"/>
        <v>9.8869380850687418E-5</v>
      </c>
      <c r="E64" s="2" t="str">
        <f t="shared" si="3"/>
        <v>0.386194574102239+9.88870060134285i</v>
      </c>
      <c r="F64" s="2" t="str">
        <f t="shared" si="4"/>
        <v>0.999591165592595-0.00118480009734634i</v>
      </c>
      <c r="G64" s="2">
        <f t="shared" si="5"/>
        <v>0.99959186775505182</v>
      </c>
    </row>
    <row r="65" spans="1:7">
      <c r="A65" s="2">
        <v>15918.331518999999</v>
      </c>
      <c r="B65" s="2">
        <v>0.38691321825539499</v>
      </c>
      <c r="C65" s="2">
        <v>9.8888458574911802</v>
      </c>
      <c r="D65" s="2">
        <f t="shared" si="2"/>
        <v>9.8870833153272874E-5</v>
      </c>
      <c r="E65" s="2" t="str">
        <f t="shared" si="3"/>
        <v>0.386913218255395+9.88884585749118i</v>
      </c>
      <c r="F65" s="2" t="str">
        <f t="shared" si="4"/>
        <v>0.999611889776829-0.00132079076195012i</v>
      </c>
      <c r="G65" s="2">
        <f t="shared" si="5"/>
        <v>0.99961276235922492</v>
      </c>
    </row>
    <row r="66" spans="1:7">
      <c r="A66" s="2">
        <v>15918.331518999999</v>
      </c>
      <c r="B66" s="2">
        <v>0.38642636508455502</v>
      </c>
      <c r="C66" s="2">
        <v>9.8888732614190307</v>
      </c>
      <c r="D66" s="2">
        <f t="shared" si="2"/>
        <v>9.8871107143707896E-5</v>
      </c>
      <c r="E66" s="2" t="str">
        <f t="shared" si="3"/>
        <v>0.386426365084555+9.88887326141903i</v>
      </c>
      <c r="F66" s="2" t="str">
        <f t="shared" si="4"/>
        <v>0.999601217186357-0.00128973624470789i</v>
      </c>
      <c r="G66" s="2">
        <f t="shared" si="5"/>
        <v>0.99960204922760498</v>
      </c>
    </row>
    <row r="67" spans="1:7">
      <c r="A67" s="2">
        <v>15918.331518999999</v>
      </c>
      <c r="B67" s="2">
        <v>0.38613380427447402</v>
      </c>
      <c r="C67" s="2">
        <v>9.8887378175374003</v>
      </c>
      <c r="D67" s="2">
        <f t="shared" si="2"/>
        <v>9.8869752946300501E-5</v>
      </c>
      <c r="E67" s="2" t="str">
        <f t="shared" si="3"/>
        <v>0.386133804274474+9.8887378175374i</v>
      </c>
      <c r="F67" s="2" t="str">
        <f t="shared" si="4"/>
        <v>0.99960505034696-0.00118184384398838i</v>
      </c>
      <c r="G67" s="2">
        <f t="shared" si="5"/>
        <v>0.99960574900008448</v>
      </c>
    </row>
    <row r="68" spans="1:7">
      <c r="A68" s="2">
        <v>15918.331518999999</v>
      </c>
      <c r="B68" s="2">
        <v>0.38621037968702399</v>
      </c>
      <c r="C68" s="2">
        <v>9.8886912792145001</v>
      </c>
      <c r="D68" s="2">
        <f t="shared" si="2"/>
        <v>9.8869287646019259E-5</v>
      </c>
      <c r="E68" s="2" t="str">
        <f t="shared" si="3"/>
        <v>0.386210379687024+9.8886912792145i</v>
      </c>
      <c r="F68" s="2" t="str">
        <f t="shared" si="4"/>
        <v>0.99959630336302-0.00125818606037131i</v>
      </c>
      <c r="G68" s="2">
        <f t="shared" si="5"/>
        <v>0.99959709519844897</v>
      </c>
    </row>
    <row r="69" spans="1:7">
      <c r="A69" s="2" t="s">
        <v>23</v>
      </c>
      <c r="B69" s="2" t="s">
        <v>1</v>
      </c>
      <c r="C69" s="2" t="s">
        <v>2</v>
      </c>
      <c r="D69" s="2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20" workbookViewId="0">
      <selection activeCell="D49" sqref="D49:E68"/>
    </sheetView>
  </sheetViews>
  <sheetFormatPr baseColWidth="10" defaultColWidth="26.33203125" defaultRowHeight="15" x14ac:dyDescent="0"/>
  <cols>
    <col min="1" max="1" width="26.33203125" style="2"/>
    <col min="2" max="2" width="35.5" style="2" customWidth="1"/>
    <col min="3" max="4" width="26.33203125" style="2"/>
    <col min="5" max="5" width="41" style="2" customWidth="1"/>
    <col min="6" max="16384" width="26.33203125" style="2"/>
  </cols>
  <sheetData>
    <row r="1" spans="1:5">
      <c r="A1" s="2" t="s">
        <v>0</v>
      </c>
      <c r="B1" s="2" t="s">
        <v>1</v>
      </c>
      <c r="C1" s="2" t="s">
        <v>2</v>
      </c>
      <c r="D1" s="2" t="s">
        <v>24</v>
      </c>
    </row>
    <row r="2" spans="1:5">
      <c r="A2" s="2" t="s">
        <v>3</v>
      </c>
      <c r="B2" s="2" t="s">
        <v>4</v>
      </c>
      <c r="C2" s="2" t="s">
        <v>2</v>
      </c>
      <c r="D2" s="2" t="s">
        <v>25</v>
      </c>
    </row>
    <row r="3" spans="1:5">
      <c r="A3" s="2" t="s">
        <v>5</v>
      </c>
      <c r="B3" s="2" t="s">
        <v>2</v>
      </c>
      <c r="C3" s="2" t="s">
        <v>6</v>
      </c>
    </row>
    <row r="4" spans="1:5">
      <c r="A4" s="2" t="s">
        <v>7</v>
      </c>
    </row>
    <row r="5" spans="1:5">
      <c r="B5" s="2" t="s">
        <v>8</v>
      </c>
      <c r="C5" s="2" t="s">
        <v>9</v>
      </c>
      <c r="E5" s="3" t="s">
        <v>61</v>
      </c>
    </row>
    <row r="6" spans="1:5">
      <c r="B6" s="2" t="s">
        <v>10</v>
      </c>
      <c r="C6" s="2" t="s">
        <v>11</v>
      </c>
    </row>
    <row r="7" spans="1:5">
      <c r="B7" s="2" t="s">
        <v>12</v>
      </c>
      <c r="C7" s="2" t="s">
        <v>13</v>
      </c>
    </row>
    <row r="8" spans="1:5">
      <c r="B8" s="2" t="s">
        <v>14</v>
      </c>
      <c r="C8" s="2" t="s">
        <v>43</v>
      </c>
    </row>
    <row r="9" spans="1:5">
      <c r="B9" s="2" t="s">
        <v>15</v>
      </c>
      <c r="C9" s="2" t="s">
        <v>16</v>
      </c>
    </row>
    <row r="10" spans="1:5">
      <c r="B10" s="2" t="s">
        <v>17</v>
      </c>
      <c r="C10" s="2" t="s">
        <v>18</v>
      </c>
    </row>
    <row r="11" spans="1:5">
      <c r="A11" s="2" t="s">
        <v>19</v>
      </c>
    </row>
    <row r="12" spans="1:5">
      <c r="A12" s="2" t="s">
        <v>20</v>
      </c>
      <c r="B12" s="2">
        <v>3348000</v>
      </c>
      <c r="C12" s="2" t="s">
        <v>21</v>
      </c>
      <c r="D12" s="2" t="s">
        <v>22</v>
      </c>
      <c r="E12" s="2">
        <v>3407872</v>
      </c>
    </row>
    <row r="13" spans="1:5">
      <c r="A13" s="2">
        <v>15.918279</v>
      </c>
      <c r="B13" s="2">
        <v>-5.86464935441409E-5</v>
      </c>
      <c r="C13" s="2">
        <v>8.0157453782246004E-3</v>
      </c>
      <c r="D13" s="2">
        <f>C13/2/PI()/A13</f>
        <v>8.0143431303752094E-5</v>
      </c>
      <c r="E13" s="2" t="str">
        <f>COMPLEX(B13,C13)</f>
        <v>-0.0000586464935441409+0.0080157453782246i</v>
      </c>
    </row>
    <row r="14" spans="1:5">
      <c r="A14" s="2">
        <v>15.918279</v>
      </c>
      <c r="B14" s="2">
        <v>-5.9936435896310702E-5</v>
      </c>
      <c r="C14" s="2">
        <v>8.0124731846579599E-3</v>
      </c>
      <c r="D14" s="2">
        <f t="shared" ref="D14:D32" si="0">C14/2/PI()/A14</f>
        <v>8.0110715092352334E-5</v>
      </c>
      <c r="E14" s="2" t="str">
        <f t="shared" ref="E14:E32" si="1">COMPLEX(B14,C14)</f>
        <v>-0.0000599364358963107+0.00801247318465796i</v>
      </c>
    </row>
    <row r="15" spans="1:5">
      <c r="A15" s="2">
        <v>15.918279</v>
      </c>
      <c r="B15" s="2">
        <v>-5.96438725183326E-5</v>
      </c>
      <c r="C15" s="2">
        <v>8.0129260040586008E-3</v>
      </c>
      <c r="D15" s="2">
        <f t="shared" si="0"/>
        <v>8.011524249421152E-5</v>
      </c>
      <c r="E15" s="2" t="str">
        <f t="shared" si="1"/>
        <v>-0.0000596438725183326+0.0080129260040586i</v>
      </c>
    </row>
    <row r="16" spans="1:5">
      <c r="A16" s="2">
        <v>15.918279</v>
      </c>
      <c r="B16" s="2">
        <v>-6.0261147427397897E-5</v>
      </c>
      <c r="C16" s="2">
        <v>8.0139189017015399E-3</v>
      </c>
      <c r="D16" s="2">
        <f t="shared" si="0"/>
        <v>8.0125169733698785E-5</v>
      </c>
      <c r="E16" s="2" t="str">
        <f t="shared" si="1"/>
        <v>-0.0000602611474273979+0.00801391890170154i</v>
      </c>
    </row>
    <row r="17" spans="1:5">
      <c r="A17" s="2">
        <v>15.918279</v>
      </c>
      <c r="B17" s="2">
        <v>-5.85725859905906E-5</v>
      </c>
      <c r="C17" s="2">
        <v>8.0131623895252704E-3</v>
      </c>
      <c r="D17" s="2">
        <f t="shared" si="0"/>
        <v>8.0117605935353344E-5</v>
      </c>
      <c r="E17" s="2" t="str">
        <f t="shared" si="1"/>
        <v>-0.0000585725859905906+0.00801316238952527i</v>
      </c>
    </row>
    <row r="18" spans="1:5">
      <c r="A18" s="2">
        <v>159.18338600000001</v>
      </c>
      <c r="B18" s="2">
        <v>2.6165018785264201E-4</v>
      </c>
      <c r="C18" s="2">
        <v>8.0022448501459398E-2</v>
      </c>
      <c r="D18" s="2">
        <f t="shared" si="0"/>
        <v>8.0008150079958061E-5</v>
      </c>
      <c r="E18" s="2" t="str">
        <f t="shared" si="1"/>
        <v>0.000261650187852642+0.0800224485014594i</v>
      </c>
    </row>
    <row r="19" spans="1:5">
      <c r="A19" s="2">
        <v>159.18338600000001</v>
      </c>
      <c r="B19" s="2">
        <v>2.6076710384654E-4</v>
      </c>
      <c r="C19" s="2">
        <v>8.0022186273176504E-2</v>
      </c>
      <c r="D19" s="2">
        <f t="shared" si="0"/>
        <v>8.0007887898530153E-5</v>
      </c>
      <c r="E19" s="2" t="str">
        <f t="shared" si="1"/>
        <v>0.00026076710384654+0.0800221862731765i</v>
      </c>
    </row>
    <row r="20" spans="1:5">
      <c r="A20" s="2">
        <v>159.18338600000001</v>
      </c>
      <c r="B20" s="2">
        <v>2.6328640447422901E-4</v>
      </c>
      <c r="C20" s="2">
        <v>8.0022078194863594E-2</v>
      </c>
      <c r="D20" s="2">
        <f t="shared" si="0"/>
        <v>8.0007779839528682E-5</v>
      </c>
      <c r="E20" s="2" t="str">
        <f t="shared" si="1"/>
        <v>0.000263286404474229+0.0800220781948636i</v>
      </c>
    </row>
    <row r="21" spans="1:5">
      <c r="A21" s="2">
        <v>159.18338600000001</v>
      </c>
      <c r="B21" s="2">
        <v>2.6206084052181301E-4</v>
      </c>
      <c r="C21" s="2">
        <v>8.0021363541941795E-2</v>
      </c>
      <c r="D21" s="2">
        <f t="shared" si="0"/>
        <v>8.0007065314301163E-5</v>
      </c>
      <c r="E21" s="2" t="str">
        <f t="shared" si="1"/>
        <v>0.000262060840521813+0.0800213635419418i</v>
      </c>
    </row>
    <row r="22" spans="1:5">
      <c r="A22" s="2">
        <v>159.18338600000001</v>
      </c>
      <c r="B22" s="2">
        <v>2.6333800456459502E-4</v>
      </c>
      <c r="C22" s="2">
        <v>8.0021910520350806E-2</v>
      </c>
      <c r="D22" s="2">
        <f t="shared" si="0"/>
        <v>8.0007612194976009E-5</v>
      </c>
      <c r="E22" s="2" t="str">
        <f t="shared" si="1"/>
        <v>0.000263338004564595+0.0800219105203508i</v>
      </c>
    </row>
    <row r="23" spans="1:5">
      <c r="A23" s="2">
        <v>1591.630257</v>
      </c>
      <c r="B23" s="2">
        <v>1.5698712657985999E-2</v>
      </c>
      <c r="C23" s="2">
        <v>0.79836531645129005</v>
      </c>
      <c r="D23" s="2">
        <f t="shared" si="0"/>
        <v>7.9832477390726103E-5</v>
      </c>
      <c r="E23" s="2" t="str">
        <f t="shared" si="1"/>
        <v>0.015698712657986+0.79836531645129i</v>
      </c>
    </row>
    <row r="24" spans="1:5">
      <c r="A24" s="2">
        <v>1591.630257</v>
      </c>
      <c r="B24" s="2">
        <v>1.5681963549315701E-2</v>
      </c>
      <c r="C24" s="2">
        <v>0.79836910339779998</v>
      </c>
      <c r="D24" s="2">
        <f t="shared" si="0"/>
        <v>7.9832856066146238E-5</v>
      </c>
      <c r="E24" s="2" t="str">
        <f t="shared" si="1"/>
        <v>0.0156819635493157+0.7983691033978i</v>
      </c>
    </row>
    <row r="25" spans="1:5">
      <c r="A25" s="2">
        <v>1591.630257</v>
      </c>
      <c r="B25" s="2">
        <v>1.56830143724862E-2</v>
      </c>
      <c r="C25" s="2">
        <v>0.79836656856885801</v>
      </c>
      <c r="D25" s="2">
        <f t="shared" si="0"/>
        <v>7.9832602596124411E-5</v>
      </c>
      <c r="E25" s="2" t="str">
        <f t="shared" si="1"/>
        <v>0.0156830143724862+0.798366568568858i</v>
      </c>
    </row>
    <row r="26" spans="1:5">
      <c r="A26" s="2">
        <v>1591.630257</v>
      </c>
      <c r="B26" s="2">
        <v>1.5685826902615999E-2</v>
      </c>
      <c r="C26" s="2">
        <v>0.79837962307136301</v>
      </c>
      <c r="D26" s="2">
        <f t="shared" si="0"/>
        <v>7.9833907980081604E-5</v>
      </c>
      <c r="E26" s="2" t="str">
        <f t="shared" si="1"/>
        <v>0.015685826902616+0.798379623071363i</v>
      </c>
    </row>
    <row r="27" spans="1:5">
      <c r="A27" s="2">
        <v>1591.630257</v>
      </c>
      <c r="B27" s="2">
        <v>1.5685048466776701E-2</v>
      </c>
      <c r="C27" s="2">
        <v>0.79837034019023301</v>
      </c>
      <c r="D27" s="2">
        <f t="shared" si="0"/>
        <v>7.983297973910887E-5</v>
      </c>
      <c r="E27" s="2" t="str">
        <f t="shared" si="1"/>
        <v>0.0156850484667767+0.798370340190233i</v>
      </c>
    </row>
    <row r="28" spans="1:5">
      <c r="A28" s="2">
        <v>15918.331518999999</v>
      </c>
      <c r="B28" s="2">
        <v>1.4355249070058</v>
      </c>
      <c r="C28" s="2">
        <v>7.7049356739228596</v>
      </c>
      <c r="D28" s="2">
        <f t="shared" si="0"/>
        <v>7.7035623818126302E-5</v>
      </c>
      <c r="E28" s="2" t="str">
        <f t="shared" si="1"/>
        <v>1.4355249070058+7.70493567392286i</v>
      </c>
    </row>
    <row r="29" spans="1:5">
      <c r="A29" s="2">
        <v>15918.331518999999</v>
      </c>
      <c r="B29" s="2">
        <v>1.4351212407446601</v>
      </c>
      <c r="C29" s="2">
        <v>7.7050579947173796</v>
      </c>
      <c r="D29" s="2">
        <f t="shared" si="0"/>
        <v>7.7036846808052579E-5</v>
      </c>
      <c r="E29" s="2" t="str">
        <f t="shared" si="1"/>
        <v>1.43512124074466+7.70505799471738i</v>
      </c>
    </row>
    <row r="30" spans="1:5">
      <c r="A30" s="2">
        <v>15918.331518999999</v>
      </c>
      <c r="B30" s="2">
        <v>1.4345833124435701</v>
      </c>
      <c r="C30" s="2">
        <v>7.7051897074265803</v>
      </c>
      <c r="D30" s="2">
        <f t="shared" si="0"/>
        <v>7.7038163700385932E-5</v>
      </c>
      <c r="E30" s="2" t="str">
        <f t="shared" si="1"/>
        <v>1.43458331244357+7.70518970742658i</v>
      </c>
    </row>
    <row r="31" spans="1:5">
      <c r="A31" s="2">
        <v>15918.331518999999</v>
      </c>
      <c r="B31" s="2">
        <v>1.4344131129573701</v>
      </c>
      <c r="C31" s="2">
        <v>7.7051775464055803</v>
      </c>
      <c r="D31" s="2">
        <f t="shared" si="0"/>
        <v>7.7038042111851173E-5</v>
      </c>
      <c r="E31" s="2" t="str">
        <f t="shared" si="1"/>
        <v>1.43441311295737+7.70517754640558i</v>
      </c>
    </row>
    <row r="32" spans="1:5">
      <c r="A32" s="2">
        <v>15918.331518999999</v>
      </c>
      <c r="B32" s="2">
        <v>1.4349174942299601</v>
      </c>
      <c r="C32" s="2">
        <v>7.7051328782025896</v>
      </c>
      <c r="D32" s="2">
        <f t="shared" si="0"/>
        <v>7.7037595509435818E-5</v>
      </c>
      <c r="E32" s="2" t="str">
        <f t="shared" si="1"/>
        <v>1.43491749422996+7.70513287820259i</v>
      </c>
    </row>
    <row r="33" spans="1:5">
      <c r="A33" s="2" t="s">
        <v>23</v>
      </c>
      <c r="B33" s="2" t="s">
        <v>1</v>
      </c>
      <c r="C33" s="2" t="s">
        <v>2</v>
      </c>
      <c r="D33" s="2" t="s">
        <v>26</v>
      </c>
    </row>
    <row r="37" spans="1:5">
      <c r="A37" s="2" t="s">
        <v>0</v>
      </c>
      <c r="B37" s="2" t="s">
        <v>1</v>
      </c>
      <c r="C37" s="2" t="s">
        <v>2</v>
      </c>
      <c r="D37" s="2" t="s">
        <v>24</v>
      </c>
    </row>
    <row r="38" spans="1:5">
      <c r="A38" s="2" t="s">
        <v>3</v>
      </c>
      <c r="B38" s="2" t="s">
        <v>4</v>
      </c>
      <c r="C38" s="2" t="s">
        <v>2</v>
      </c>
      <c r="D38" s="2" t="s">
        <v>25</v>
      </c>
    </row>
    <row r="39" spans="1:5">
      <c r="A39" s="2" t="s">
        <v>5</v>
      </c>
      <c r="B39" s="2" t="s">
        <v>2</v>
      </c>
      <c r="C39" s="2" t="s">
        <v>6</v>
      </c>
    </row>
    <row r="40" spans="1:5">
      <c r="A40" s="2" t="s">
        <v>7</v>
      </c>
    </row>
    <row r="41" spans="1:5">
      <c r="B41" s="2" t="s">
        <v>8</v>
      </c>
      <c r="C41" s="2" t="s">
        <v>9</v>
      </c>
    </row>
    <row r="42" spans="1:5">
      <c r="B42" s="2" t="s">
        <v>10</v>
      </c>
      <c r="C42" s="2" t="s">
        <v>11</v>
      </c>
    </row>
    <row r="43" spans="1:5">
      <c r="B43" s="2" t="s">
        <v>12</v>
      </c>
      <c r="C43" s="2" t="s">
        <v>13</v>
      </c>
    </row>
    <row r="44" spans="1:5">
      <c r="B44" s="2" t="s">
        <v>14</v>
      </c>
      <c r="C44" s="2" t="s">
        <v>43</v>
      </c>
    </row>
    <row r="45" spans="1:5">
      <c r="B45" s="2" t="s">
        <v>15</v>
      </c>
      <c r="C45" s="2" t="s">
        <v>16</v>
      </c>
    </row>
    <row r="46" spans="1:5">
      <c r="B46" s="2" t="s">
        <v>17</v>
      </c>
      <c r="C46" s="2" t="s">
        <v>18</v>
      </c>
    </row>
    <row r="47" spans="1:5">
      <c r="A47" s="2" t="s">
        <v>19</v>
      </c>
    </row>
    <row r="48" spans="1:5">
      <c r="A48" s="2" t="s">
        <v>20</v>
      </c>
      <c r="B48" s="2">
        <v>3348000</v>
      </c>
      <c r="C48" s="2" t="s">
        <v>21</v>
      </c>
      <c r="D48" s="2" t="s">
        <v>22</v>
      </c>
      <c r="E48" s="2">
        <v>3407872</v>
      </c>
    </row>
    <row r="49" spans="1:7">
      <c r="A49" s="2">
        <v>15.918279</v>
      </c>
      <c r="B49" s="2">
        <v>-0.86571010378785995</v>
      </c>
      <c r="C49" s="2">
        <v>-123.772310826213</v>
      </c>
      <c r="D49" s="2">
        <f>-1/C49/2/PI()/A49</f>
        <v>8.0779380836492747E-5</v>
      </c>
      <c r="E49" s="2" t="str">
        <f>COMPLEX(B49,C49)</f>
        <v>-0.86571010378786-123.772310826213i</v>
      </c>
      <c r="F49" s="2" t="str">
        <f>IMPRODUCT(E49,E13)</f>
        <v>0.992178099319408+0.000319500264493023i</v>
      </c>
      <c r="G49" s="2">
        <f>IMABS(F49)</f>
        <v>0.992178150761995</v>
      </c>
    </row>
    <row r="50" spans="1:7">
      <c r="A50" s="2">
        <v>15.918279</v>
      </c>
      <c r="B50" s="2">
        <v>-0.89447467697682104</v>
      </c>
      <c r="C50" s="2">
        <v>-123.766722121736</v>
      </c>
      <c r="D50" s="2">
        <f t="shared" ref="D50:D68" si="2">-1/C50/2/PI()/A50</f>
        <v>8.0783028441273671E-5</v>
      </c>
      <c r="E50" s="2" t="str">
        <f t="shared" ref="E50:E68" si="3">COMPLEX(B50,C50)</f>
        <v>-0.894474676976821-123.766722121736i</v>
      </c>
      <c r="F50" s="2" t="str">
        <f t="shared" ref="F50:F68" si="4">IMPRODUCT(E50,E14)</f>
        <v>0.99173115377756+0.00025118184291356i</v>
      </c>
      <c r="G50" s="2">
        <f t="shared" ref="G50:G68" si="5">IMABS(F50)</f>
        <v>0.991731185586744</v>
      </c>
    </row>
    <row r="51" spans="1:7">
      <c r="A51" s="2">
        <v>15.918279</v>
      </c>
      <c r="B51" s="2">
        <v>-0.90065585610166099</v>
      </c>
      <c r="C51" s="2">
        <v>-123.760481043901</v>
      </c>
      <c r="D51" s="2">
        <f t="shared" si="2"/>
        <v>8.0787102222855612E-5</v>
      </c>
      <c r="E51" s="2" t="str">
        <f t="shared" si="3"/>
        <v>-0.900655856101661-123.760481043901i</v>
      </c>
      <c r="F51" s="2" t="str">
        <f t="shared" si="4"/>
        <v>0.99173729543454+0.000164665624125288i</v>
      </c>
      <c r="G51" s="2">
        <f t="shared" si="5"/>
        <v>0.9917373091048779</v>
      </c>
    </row>
    <row r="52" spans="1:7">
      <c r="A52" s="2">
        <v>15.918279</v>
      </c>
      <c r="B52" s="2">
        <v>-0.91433107603477803</v>
      </c>
      <c r="C52" s="2">
        <v>-123.774841369238</v>
      </c>
      <c r="D52" s="2">
        <f t="shared" si="2"/>
        <v>8.07777293239844E-5</v>
      </c>
      <c r="E52" s="2" t="str">
        <f t="shared" si="3"/>
        <v>-0.914331076034778-123.774841369238i</v>
      </c>
      <c r="F52" s="2" t="str">
        <f t="shared" si="4"/>
        <v>0.991976639443817+0.000131438870906224i</v>
      </c>
      <c r="G52" s="2">
        <f t="shared" si="5"/>
        <v>0.99197664815177233</v>
      </c>
    </row>
    <row r="53" spans="1:7">
      <c r="A53" s="2">
        <v>15.918279</v>
      </c>
      <c r="B53" s="2">
        <v>-0.87217341467715603</v>
      </c>
      <c r="C53" s="2">
        <v>-123.78355069406</v>
      </c>
      <c r="D53" s="2">
        <f t="shared" si="2"/>
        <v>8.0772045858943045E-5</v>
      </c>
      <c r="E53" s="2" t="str">
        <f t="shared" si="3"/>
        <v>-0.872173414677156-123.78355069406i</v>
      </c>
      <c r="F53" s="2" t="str">
        <f t="shared" si="4"/>
        <v>0.991948778315866+0.000261455463613646i</v>
      </c>
      <c r="G53" s="2">
        <f t="shared" si="5"/>
        <v>0.99194881277276536</v>
      </c>
    </row>
    <row r="54" spans="1:7">
      <c r="A54" s="2">
        <v>159.18338600000001</v>
      </c>
      <c r="B54" s="2">
        <v>4.0221061932559102E-2</v>
      </c>
      <c r="C54" s="2">
        <v>-12.3979028567767</v>
      </c>
      <c r="D54" s="2">
        <f t="shared" si="2"/>
        <v>8.0644390540896601E-5</v>
      </c>
      <c r="E54" s="2" t="str">
        <f t="shared" si="3"/>
        <v>0.0402210619325591-12.3979028567767i</v>
      </c>
      <c r="F54" s="2" t="str">
        <f t="shared" si="4"/>
        <v>0.99212106673092-0.000025325754282211i</v>
      </c>
      <c r="G54" s="2">
        <f t="shared" si="5"/>
        <v>0.99212106705416392</v>
      </c>
    </row>
    <row r="55" spans="1:7">
      <c r="A55" s="2">
        <v>159.18338600000001</v>
      </c>
      <c r="B55" s="2">
        <v>4.0271885282050203E-2</v>
      </c>
      <c r="C55" s="2">
        <v>-12.397872443161001</v>
      </c>
      <c r="D55" s="2">
        <f t="shared" si="2"/>
        <v>8.0644588372219146E-5</v>
      </c>
      <c r="E55" s="2" t="str">
        <f t="shared" si="3"/>
        <v>0.0402718852820502-12.397872443161i</v>
      </c>
      <c r="F55" s="2" t="str">
        <f t="shared" si="4"/>
        <v>0.992115359620603-0.0000103129852497045i</v>
      </c>
      <c r="G55" s="2">
        <f t="shared" si="5"/>
        <v>0.9921153596742045</v>
      </c>
    </row>
    <row r="56" spans="1:7">
      <c r="A56" s="2">
        <v>159.18338600000001</v>
      </c>
      <c r="B56" s="2">
        <v>4.0414600842806903E-2</v>
      </c>
      <c r="C56" s="2">
        <v>-12.3978742483577</v>
      </c>
      <c r="D56" s="2">
        <f t="shared" si="2"/>
        <v>8.0644576629936409E-5</v>
      </c>
      <c r="E56" s="2" t="str">
        <f t="shared" si="3"/>
        <v>0.0404146008428069-12.3978742483577i</v>
      </c>
      <c r="F56" s="2" t="str">
        <f t="shared" si="4"/>
        <v>0.99211430316711-0.0000301313851164393i</v>
      </c>
      <c r="G56" s="2">
        <f t="shared" si="5"/>
        <v>0.99211430362466824</v>
      </c>
    </row>
    <row r="57" spans="1:7">
      <c r="A57" s="2">
        <v>159.18338600000001</v>
      </c>
      <c r="B57" s="2">
        <v>4.0273699257757797E-2</v>
      </c>
      <c r="C57" s="2">
        <v>-12.3979716487056</v>
      </c>
      <c r="D57" s="2">
        <f t="shared" si="2"/>
        <v>8.0643943073896557E-5</v>
      </c>
      <c r="E57" s="2" t="str">
        <f t="shared" si="3"/>
        <v>0.0402736992577578-12.3979716487056i</v>
      </c>
      <c r="F57" s="2" t="str">
        <f t="shared" si="4"/>
        <v>0.992113150643237-0.0000262665415415291i</v>
      </c>
      <c r="G57" s="2">
        <f t="shared" si="5"/>
        <v>0.99211315099094499</v>
      </c>
    </row>
    <row r="58" spans="1:7">
      <c r="A58" s="2">
        <v>159.18338600000001</v>
      </c>
      <c r="B58" s="2">
        <v>4.0305860146763801E-2</v>
      </c>
      <c r="C58" s="2">
        <v>-12.3981633259462</v>
      </c>
      <c r="D58" s="2">
        <f t="shared" si="2"/>
        <v>8.0642696307897983E-5</v>
      </c>
      <c r="E58" s="2" t="str">
        <f t="shared" si="3"/>
        <v>0.0403058601467638-12.3981633259462i</v>
      </c>
      <c r="F58" s="2" t="str">
        <f t="shared" si="4"/>
        <v>0.992135330350345-0.0000395556564105086i</v>
      </c>
      <c r="G58" s="2">
        <f t="shared" si="5"/>
        <v>0.99213533113887142</v>
      </c>
    </row>
    <row r="59" spans="1:7">
      <c r="A59" s="2">
        <v>1591.630257</v>
      </c>
      <c r="B59" s="2">
        <v>2.37794046848568E-2</v>
      </c>
      <c r="C59" s="2">
        <v>-1.2422417354551101</v>
      </c>
      <c r="D59" s="2">
        <f t="shared" si="2"/>
        <v>8.0495542012047014E-5</v>
      </c>
      <c r="E59" s="2" t="str">
        <f t="shared" si="3"/>
        <v>0.0237794046848568-1.24224173545511i</v>
      </c>
      <c r="F59" s="2" t="str">
        <f t="shared" si="4"/>
        <v>0.992136022276944-0.000516944110418645i</v>
      </c>
      <c r="G59" s="2">
        <f t="shared" si="5"/>
        <v>0.99213615695162027</v>
      </c>
    </row>
    <row r="60" spans="1:7">
      <c r="A60" s="2">
        <v>1591.630257</v>
      </c>
      <c r="B60" s="2">
        <v>2.3793619461396302E-2</v>
      </c>
      <c r="C60" s="2">
        <v>-1.2422341665650101</v>
      </c>
      <c r="D60" s="2">
        <f t="shared" si="2"/>
        <v>8.0496032468619071E-5</v>
      </c>
      <c r="E60" s="2" t="str">
        <f t="shared" si="3"/>
        <v>0.0237936194613963-1.24223416656501i</v>
      </c>
      <c r="F60" s="2" t="str">
        <f t="shared" si="4"/>
        <v>0.99213450844372-0.000484580283803649i</v>
      </c>
      <c r="G60" s="2">
        <f t="shared" si="5"/>
        <v>0.99213462678353959</v>
      </c>
    </row>
    <row r="61" spans="1:7">
      <c r="A61" s="2">
        <v>1591.630257</v>
      </c>
      <c r="B61" s="2">
        <v>2.3787222658954499E-2</v>
      </c>
      <c r="C61" s="2">
        <v>-1.24224036000984</v>
      </c>
      <c r="D61" s="2">
        <f t="shared" si="2"/>
        <v>8.0495631139092073E-5</v>
      </c>
      <c r="E61" s="2" t="str">
        <f t="shared" si="3"/>
        <v>0.0237872226589545-1.24224036000984i</v>
      </c>
      <c r="F61" s="2" t="str">
        <f t="shared" si="4"/>
        <v>0.992136228913641-0.000491150090103865i</v>
      </c>
      <c r="G61" s="2">
        <f t="shared" si="5"/>
        <v>0.99213635048383919</v>
      </c>
    </row>
    <row r="62" spans="1:7">
      <c r="A62" s="2">
        <v>1591.630257</v>
      </c>
      <c r="B62" s="2">
        <v>2.3798923390250401E-2</v>
      </c>
      <c r="C62" s="2">
        <v>-1.2422567970537099</v>
      </c>
      <c r="D62" s="2">
        <f t="shared" si="2"/>
        <v>8.0494566053174635E-5</v>
      </c>
      <c r="E62" s="2" t="str">
        <f t="shared" si="3"/>
        <v>0.0237989233902504-1.24225679705371i</v>
      </c>
      <c r="F62" s="2" t="str">
        <f t="shared" si="4"/>
        <v>0.992165819182348-0.000485249601370304i</v>
      </c>
      <c r="G62" s="2">
        <f t="shared" si="5"/>
        <v>0.99216593784555795</v>
      </c>
    </row>
    <row r="63" spans="1:7">
      <c r="A63" s="2">
        <v>1591.630257</v>
      </c>
      <c r="B63" s="2">
        <v>2.3789683425258199E-2</v>
      </c>
      <c r="C63" s="2">
        <v>-1.2422517044515</v>
      </c>
      <c r="D63" s="2">
        <f t="shared" si="2"/>
        <v>8.0494896040087511E-5</v>
      </c>
      <c r="E63" s="2" t="str">
        <f t="shared" si="3"/>
        <v>0.0237896834252582-1.2422517044515i</v>
      </c>
      <c r="F63" s="2" t="str">
        <f t="shared" si="4"/>
        <v>0.992150058222375-0.000491800543016407i</v>
      </c>
      <c r="G63" s="2">
        <f t="shared" si="5"/>
        <v>0.99215018011308975</v>
      </c>
    </row>
    <row r="64" spans="1:7">
      <c r="A64" s="2">
        <v>15918.331518999999</v>
      </c>
      <c r="B64" s="2">
        <v>2.2519307983294198E-2</v>
      </c>
      <c r="C64" s="2">
        <v>-0.124463925914277</v>
      </c>
      <c r="D64" s="2">
        <f t="shared" si="2"/>
        <v>8.0330244870484199E-5</v>
      </c>
      <c r="E64" s="2" t="str">
        <f t="shared" si="3"/>
        <v>0.0225193079832942-0.124463925914277i</v>
      </c>
      <c r="F64" s="2" t="str">
        <f t="shared" si="4"/>
        <v>0.991313570391958-0.00516124624112996i</v>
      </c>
      <c r="G64" s="2">
        <f t="shared" si="5"/>
        <v>0.99132700624264902</v>
      </c>
    </row>
    <row r="65" spans="1:7">
      <c r="A65" s="2">
        <v>15918.331518999999</v>
      </c>
      <c r="B65" s="2">
        <v>2.2528325694008401E-2</v>
      </c>
      <c r="C65" s="2">
        <v>-0.12446216425614</v>
      </c>
      <c r="D65" s="2">
        <f t="shared" si="2"/>
        <v>8.0331381878107113E-5</v>
      </c>
      <c r="E65" s="2" t="str">
        <f t="shared" si="3"/>
        <v>0.0225283256940084-0.12446216425614i</v>
      </c>
      <c r="F65" s="2" t="str">
        <f t="shared" si="4"/>
        <v>0.991319072463484-0.00503623959682092i</v>
      </c>
      <c r="G65" s="2">
        <f t="shared" si="5"/>
        <v>0.99133186528989325</v>
      </c>
    </row>
    <row r="66" spans="1:7">
      <c r="A66" s="2">
        <v>15918.331518999999</v>
      </c>
      <c r="B66" s="2">
        <v>2.2523322056480801E-2</v>
      </c>
      <c r="C66" s="2">
        <v>-0.124464073526944</v>
      </c>
      <c r="D66" s="2">
        <f t="shared" si="2"/>
        <v>8.0330149599926602E-5</v>
      </c>
      <c r="E66" s="2" t="str">
        <f t="shared" si="3"/>
        <v>0.0225233220564808-0.124464073526944i</v>
      </c>
      <c r="F66" s="2" t="str">
        <f t="shared" si="4"/>
        <v>0.991330880247213-0.00500761359385343i</v>
      </c>
      <c r="G66" s="2">
        <f t="shared" si="5"/>
        <v>0.99134352790827229</v>
      </c>
    </row>
    <row r="67" spans="1:7">
      <c r="A67" s="2">
        <v>15918.331518999999</v>
      </c>
      <c r="B67" s="2">
        <v>2.25396349082903E-2</v>
      </c>
      <c r="C67" s="2">
        <v>-0.12445997759107599</v>
      </c>
      <c r="D67" s="2">
        <f t="shared" si="2"/>
        <v>8.0332793238045442E-5</v>
      </c>
      <c r="E67" s="2" t="str">
        <f t="shared" si="3"/>
        <v>0.0225396349082903-0.124459977591076i</v>
      </c>
      <c r="F67" s="2" t="str">
        <f t="shared" si="4"/>
        <v>0.991317372634624-0.00485513509548202i</v>
      </c>
      <c r="G67" s="2">
        <f t="shared" si="5"/>
        <v>0.99132926196295112</v>
      </c>
    </row>
    <row r="68" spans="1:7">
      <c r="A68" s="2">
        <v>15918.331518999999</v>
      </c>
      <c r="B68" s="2">
        <v>2.2519475334556598E-2</v>
      </c>
      <c r="C68" s="2">
        <v>-0.124463692250899</v>
      </c>
      <c r="D68" s="2">
        <f t="shared" si="2"/>
        <v>8.0330395679415175E-5</v>
      </c>
      <c r="E68" s="2" t="str">
        <f t="shared" si="3"/>
        <v>0.0225194753345566-0.124463692250899i</v>
      </c>
      <c r="F68" s="2" t="str">
        <f t="shared" si="4"/>
        <v>0.991322876423326-0.00507957960710456i</v>
      </c>
      <c r="G68" s="2">
        <f t="shared" si="5"/>
        <v>0.99133589032638258</v>
      </c>
    </row>
    <row r="69" spans="1:7">
      <c r="A69" s="2" t="s">
        <v>23</v>
      </c>
      <c r="B69" s="2" t="s">
        <v>1</v>
      </c>
      <c r="C69" s="2" t="s">
        <v>2</v>
      </c>
      <c r="D69" s="2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topLeftCell="A21" workbookViewId="0">
      <selection activeCell="D49" sqref="D49:E68"/>
    </sheetView>
  </sheetViews>
  <sheetFormatPr baseColWidth="10" defaultRowHeight="15" x14ac:dyDescent="0"/>
  <cols>
    <col min="2" max="2" width="18.1640625" customWidth="1"/>
    <col min="3" max="3" width="16.33203125" customWidth="1"/>
    <col min="4" max="4" width="23" customWidth="1"/>
    <col min="5" max="5" width="43" customWidth="1"/>
    <col min="6" max="7" width="17.5" customWidth="1"/>
  </cols>
  <sheetData>
    <row r="1" spans="1:5">
      <c r="A1" t="s">
        <v>0</v>
      </c>
      <c r="B1" t="s">
        <v>1</v>
      </c>
      <c r="C1" t="s">
        <v>2</v>
      </c>
      <c r="D1" t="s">
        <v>24</v>
      </c>
    </row>
    <row r="2" spans="1:5">
      <c r="A2" t="s">
        <v>3</v>
      </c>
      <c r="B2" t="s">
        <v>4</v>
      </c>
      <c r="C2" t="s">
        <v>2</v>
      </c>
      <c r="D2" t="s">
        <v>25</v>
      </c>
    </row>
    <row r="3" spans="1:5">
      <c r="A3" t="s">
        <v>5</v>
      </c>
      <c r="B3" t="s">
        <v>2</v>
      </c>
      <c r="C3" t="s">
        <v>6</v>
      </c>
    </row>
    <row r="4" spans="1:5">
      <c r="A4" t="s">
        <v>7</v>
      </c>
      <c r="E4" s="4" t="s">
        <v>62</v>
      </c>
    </row>
    <row r="5" spans="1:5">
      <c r="B5" t="s">
        <v>8</v>
      </c>
      <c r="C5" t="s">
        <v>9</v>
      </c>
    </row>
    <row r="6" spans="1:5">
      <c r="B6" t="s">
        <v>10</v>
      </c>
      <c r="C6" t="s">
        <v>11</v>
      </c>
    </row>
    <row r="7" spans="1:5">
      <c r="B7" t="s">
        <v>12</v>
      </c>
      <c r="C7" t="s">
        <v>13</v>
      </c>
    </row>
    <row r="8" spans="1:5">
      <c r="B8" t="s">
        <v>14</v>
      </c>
      <c r="C8" t="s">
        <v>43</v>
      </c>
    </row>
    <row r="9" spans="1:5">
      <c r="B9" t="s">
        <v>15</v>
      </c>
      <c r="C9" t="s">
        <v>16</v>
      </c>
    </row>
    <row r="10" spans="1:5">
      <c r="B10" t="s">
        <v>17</v>
      </c>
      <c r="C10" t="s">
        <v>18</v>
      </c>
    </row>
    <row r="11" spans="1:5">
      <c r="A11" t="s">
        <v>19</v>
      </c>
    </row>
    <row r="12" spans="1:5">
      <c r="A12" t="s">
        <v>20</v>
      </c>
      <c r="B12">
        <v>3348000</v>
      </c>
      <c r="C12" t="s">
        <v>21</v>
      </c>
      <c r="D12" t="s">
        <v>22</v>
      </c>
      <c r="E12">
        <v>3407872</v>
      </c>
    </row>
    <row r="13" spans="1:5">
      <c r="A13">
        <v>15.918279</v>
      </c>
      <c r="B13">
        <v>-0.82779516207406001</v>
      </c>
      <c r="C13">
        <v>-100.980537082648</v>
      </c>
      <c r="D13" s="2">
        <f>-1/C13/2/PI()/A13</f>
        <v>9.9011660287172965E-5</v>
      </c>
      <c r="E13" s="2" t="str">
        <f>COMPLEX(B13,C13)</f>
        <v>-0.82779516207406-100.980537082648i</v>
      </c>
    </row>
    <row r="14" spans="1:5">
      <c r="A14">
        <v>15.918279</v>
      </c>
      <c r="B14">
        <v>-0.82784260677555899</v>
      </c>
      <c r="C14">
        <v>-100.97013912443499</v>
      </c>
      <c r="D14" s="2">
        <f t="shared" ref="D14:D32" si="0">-1/C14/2/PI()/A14</f>
        <v>9.9021856560201727E-5</v>
      </c>
      <c r="E14" s="2" t="str">
        <f t="shared" ref="E14:E32" si="1">COMPLEX(B14,C14)</f>
        <v>-0.827842606775559-100.970139124435i</v>
      </c>
    </row>
    <row r="15" spans="1:5">
      <c r="A15">
        <v>15.918279</v>
      </c>
      <c r="B15">
        <v>-0.82125142847984001</v>
      </c>
      <c r="C15">
        <v>-100.981894854893</v>
      </c>
      <c r="D15" s="2">
        <f t="shared" si="0"/>
        <v>9.9010329006110512E-5</v>
      </c>
      <c r="E15" s="2" t="str">
        <f t="shared" si="1"/>
        <v>-0.82125142847984-100.981894854893i</v>
      </c>
    </row>
    <row r="16" spans="1:5">
      <c r="A16">
        <v>15.918279</v>
      </c>
      <c r="B16">
        <v>-0.82547781358359895</v>
      </c>
      <c r="C16">
        <v>-100.97329912584701</v>
      </c>
      <c r="D16" s="2">
        <f t="shared" si="0"/>
        <v>9.9018757629996805E-5</v>
      </c>
      <c r="E16" s="2" t="str">
        <f t="shared" si="1"/>
        <v>-0.825477813583599-100.973299125847i</v>
      </c>
    </row>
    <row r="17" spans="1:5">
      <c r="A17">
        <v>15.918279</v>
      </c>
      <c r="B17">
        <v>-0.81805092363862397</v>
      </c>
      <c r="C17">
        <v>-100.977003562137</v>
      </c>
      <c r="D17" s="2">
        <f t="shared" si="0"/>
        <v>9.9015125033799503E-5</v>
      </c>
      <c r="E17" s="2" t="str">
        <f t="shared" si="1"/>
        <v>-0.818050923638624-100.977003562137i</v>
      </c>
    </row>
    <row r="18" spans="1:5">
      <c r="A18">
        <v>159.18338600000001</v>
      </c>
      <c r="B18">
        <v>4.24316297979155E-3</v>
      </c>
      <c r="C18">
        <v>-10.0933930628821</v>
      </c>
      <c r="D18" s="2">
        <f t="shared" si="0"/>
        <v>9.9057008246987413E-5</v>
      </c>
      <c r="E18" s="2" t="str">
        <f t="shared" si="1"/>
        <v>0.00424316297979155-10.0933930628821i</v>
      </c>
    </row>
    <row r="19" spans="1:5">
      <c r="A19">
        <v>159.18338600000001</v>
      </c>
      <c r="B19">
        <v>4.2018679633638598E-3</v>
      </c>
      <c r="C19">
        <v>-10.093400036063899</v>
      </c>
      <c r="D19" s="2">
        <f t="shared" si="0"/>
        <v>9.9056939811918509E-5</v>
      </c>
      <c r="E19" s="2" t="str">
        <f t="shared" si="1"/>
        <v>0.00420186796336386-10.0934000360639i</v>
      </c>
    </row>
    <row r="20" spans="1:5">
      <c r="A20">
        <v>159.18338600000001</v>
      </c>
      <c r="B20">
        <v>4.2106769713737297E-3</v>
      </c>
      <c r="C20">
        <v>-10.093391569921501</v>
      </c>
      <c r="D20" s="2">
        <f t="shared" si="0"/>
        <v>9.905702289897129E-5</v>
      </c>
      <c r="E20" s="2" t="str">
        <f t="shared" si="1"/>
        <v>0.00421067697137373-10.0933915699215i</v>
      </c>
    </row>
    <row r="21" spans="1:5">
      <c r="A21">
        <v>159.18338600000001</v>
      </c>
      <c r="B21">
        <v>4.2320350129845998E-3</v>
      </c>
      <c r="C21">
        <v>-10.0931731212779</v>
      </c>
      <c r="D21" s="2">
        <f t="shared" si="0"/>
        <v>9.9059166810705604E-5</v>
      </c>
      <c r="E21" s="2" t="str">
        <f t="shared" si="1"/>
        <v>0.0042320350129846-10.0931731212779i</v>
      </c>
    </row>
    <row r="22" spans="1:5">
      <c r="A22">
        <v>159.18338600000001</v>
      </c>
      <c r="B22">
        <v>4.1857938102408303E-3</v>
      </c>
      <c r="C22">
        <v>-10.093197459065999</v>
      </c>
      <c r="D22" s="2">
        <f t="shared" si="0"/>
        <v>9.9058927948737354E-5</v>
      </c>
      <c r="E22" s="2" t="str">
        <f t="shared" si="1"/>
        <v>0.00418579381024083-10.093197459066i</v>
      </c>
    </row>
    <row r="23" spans="1:5">
      <c r="A23">
        <v>1591.630257</v>
      </c>
      <c r="B23">
        <v>8.7598745465509997E-4</v>
      </c>
      <c r="C23">
        <v>-1.01010360669887</v>
      </c>
      <c r="D23" s="2">
        <f t="shared" si="0"/>
        <v>9.8994718108412111E-5</v>
      </c>
      <c r="E23" s="2" t="str">
        <f t="shared" si="1"/>
        <v>0.0008759874546551-1.01010360669887i</v>
      </c>
    </row>
    <row r="24" spans="1:5">
      <c r="A24">
        <v>1591.630257</v>
      </c>
      <c r="B24">
        <v>8.7334844253692705E-4</v>
      </c>
      <c r="C24">
        <v>-1.01009039938544</v>
      </c>
      <c r="D24" s="2">
        <f t="shared" si="0"/>
        <v>9.8996012501736475E-5</v>
      </c>
      <c r="E24" s="2" t="str">
        <f t="shared" si="1"/>
        <v>0.000873348442536927-1.01009039938544i</v>
      </c>
    </row>
    <row r="25" spans="1:5">
      <c r="A25">
        <v>1591.630257</v>
      </c>
      <c r="B25">
        <v>8.7442273641769801E-4</v>
      </c>
      <c r="C25">
        <v>-1.01009581033415</v>
      </c>
      <c r="D25" s="2">
        <f t="shared" si="0"/>
        <v>9.8995482193283888E-5</v>
      </c>
      <c r="E25" s="2" t="str">
        <f t="shared" si="1"/>
        <v>0.000874422736417698-1.01009581033415i</v>
      </c>
    </row>
    <row r="26" spans="1:5">
      <c r="A26">
        <v>1591.630257</v>
      </c>
      <c r="B26">
        <v>8.7973359687172701E-4</v>
      </c>
      <c r="C26">
        <v>-1.01008429011108</v>
      </c>
      <c r="D26" s="2">
        <f t="shared" si="0"/>
        <v>9.8996611257510454E-5</v>
      </c>
      <c r="E26" s="2" t="str">
        <f t="shared" si="1"/>
        <v>0.000879733596871727-1.01008429011108i</v>
      </c>
    </row>
    <row r="27" spans="1:5">
      <c r="A27">
        <v>1591.630257</v>
      </c>
      <c r="B27">
        <v>8.7420756744087597E-4</v>
      </c>
      <c r="C27">
        <v>-1.0100867171232899</v>
      </c>
      <c r="D27" s="2">
        <f t="shared" si="0"/>
        <v>9.8996373390820229E-5</v>
      </c>
      <c r="E27" s="2" t="str">
        <f t="shared" si="1"/>
        <v>0.000874207567440876-1.01008671712329i</v>
      </c>
    </row>
    <row r="28" spans="1:5">
      <c r="A28">
        <v>15918.331518999999</v>
      </c>
      <c r="B28">
        <v>4.7874996487475702E-4</v>
      </c>
      <c r="C28">
        <v>-0.10104013664964601</v>
      </c>
      <c r="D28" s="2">
        <f t="shared" si="0"/>
        <v>9.8952930763585858E-5</v>
      </c>
      <c r="E28" s="2" t="str">
        <f t="shared" si="1"/>
        <v>0.000478749964874757-0.101040136649646i</v>
      </c>
    </row>
    <row r="29" spans="1:5">
      <c r="A29">
        <v>15918.331518999999</v>
      </c>
      <c r="B29">
        <v>4.6310230167891699E-4</v>
      </c>
      <c r="C29">
        <v>-0.101039217606018</v>
      </c>
      <c r="D29" s="2">
        <f t="shared" si="0"/>
        <v>9.8953830830536543E-5</v>
      </c>
      <c r="E29" s="2" t="str">
        <f t="shared" si="1"/>
        <v>0.000463102301678917-0.101039217606018i</v>
      </c>
    </row>
    <row r="30" spans="1:5">
      <c r="A30">
        <v>15918.331518999999</v>
      </c>
      <c r="B30">
        <v>4.7928046761087998E-4</v>
      </c>
      <c r="C30">
        <v>-0.10104137113051501</v>
      </c>
      <c r="D30" s="2">
        <f t="shared" si="0"/>
        <v>9.8951721798400694E-5</v>
      </c>
      <c r="E30" s="2" t="str">
        <f t="shared" si="1"/>
        <v>0.00047928046761088-0.101041371130515i</v>
      </c>
    </row>
    <row r="31" spans="1:5">
      <c r="A31">
        <v>15918.331518999999</v>
      </c>
      <c r="B31">
        <v>4.7373431185243598E-4</v>
      </c>
      <c r="C31">
        <v>-0.10104010005747099</v>
      </c>
      <c r="D31" s="2">
        <f t="shared" si="0"/>
        <v>9.8952966599882136E-5</v>
      </c>
      <c r="E31" s="2" t="str">
        <f t="shared" si="1"/>
        <v>0.000473734311852436-0.101040100057471i</v>
      </c>
    </row>
    <row r="32" spans="1:5">
      <c r="A32">
        <v>15918.331518999999</v>
      </c>
      <c r="B32">
        <v>4.55460117337887E-4</v>
      </c>
      <c r="C32">
        <v>-0.101039959754783</v>
      </c>
      <c r="D32" s="2">
        <f t="shared" si="0"/>
        <v>9.8953104004600355E-5</v>
      </c>
      <c r="E32" s="2" t="str">
        <f t="shared" si="1"/>
        <v>0.000455460117337887-0.101039959754783i</v>
      </c>
    </row>
    <row r="33" spans="1:5">
      <c r="A33" t="s">
        <v>23</v>
      </c>
      <c r="B33" t="s">
        <v>1</v>
      </c>
      <c r="C33" t="s">
        <v>2</v>
      </c>
      <c r="D33" t="s">
        <v>26</v>
      </c>
    </row>
    <row r="37" spans="1:5">
      <c r="A37" t="s">
        <v>0</v>
      </c>
      <c r="B37" t="s">
        <v>1</v>
      </c>
      <c r="C37" t="s">
        <v>2</v>
      </c>
      <c r="D37" t="s">
        <v>24</v>
      </c>
    </row>
    <row r="38" spans="1:5">
      <c r="A38" t="s">
        <v>3</v>
      </c>
      <c r="B38" t="s">
        <v>4</v>
      </c>
      <c r="C38" t="s">
        <v>2</v>
      </c>
      <c r="D38" t="s">
        <v>25</v>
      </c>
    </row>
    <row r="39" spans="1:5">
      <c r="A39" t="s">
        <v>5</v>
      </c>
      <c r="B39" t="s">
        <v>2</v>
      </c>
      <c r="C39" t="s">
        <v>6</v>
      </c>
    </row>
    <row r="40" spans="1:5">
      <c r="A40" t="s">
        <v>7</v>
      </c>
    </row>
    <row r="41" spans="1:5">
      <c r="B41" t="s">
        <v>8</v>
      </c>
      <c r="C41" t="s">
        <v>9</v>
      </c>
    </row>
    <row r="42" spans="1:5">
      <c r="B42" t="s">
        <v>10</v>
      </c>
      <c r="C42" t="s">
        <v>11</v>
      </c>
    </row>
    <row r="43" spans="1:5">
      <c r="B43" t="s">
        <v>12</v>
      </c>
      <c r="C43" t="s">
        <v>13</v>
      </c>
    </row>
    <row r="44" spans="1:5">
      <c r="B44" t="s">
        <v>14</v>
      </c>
      <c r="C44" t="s">
        <v>63</v>
      </c>
    </row>
    <row r="45" spans="1:5">
      <c r="B45" t="s">
        <v>15</v>
      </c>
      <c r="C45" t="s">
        <v>16</v>
      </c>
    </row>
    <row r="46" spans="1:5">
      <c r="B46" t="s">
        <v>17</v>
      </c>
      <c r="C46" t="s">
        <v>18</v>
      </c>
    </row>
    <row r="47" spans="1:5">
      <c r="A47" t="s">
        <v>19</v>
      </c>
    </row>
    <row r="48" spans="1:5">
      <c r="A48" t="s">
        <v>20</v>
      </c>
      <c r="B48">
        <v>3348000</v>
      </c>
      <c r="C48" t="s">
        <v>21</v>
      </c>
      <c r="D48" t="s">
        <v>22</v>
      </c>
      <c r="E48">
        <v>3471337</v>
      </c>
    </row>
    <row r="49" spans="1:7">
      <c r="A49">
        <v>15.918279</v>
      </c>
      <c r="B49" s="1">
        <v>-8.1682402887667098E-5</v>
      </c>
      <c r="C49">
        <v>9.9050222885008303E-3</v>
      </c>
      <c r="D49" s="2">
        <f>C49/2/PI()/A49</f>
        <v>9.9032895368293556E-5</v>
      </c>
      <c r="E49" s="2" t="str">
        <f>COMPLEX(B49,C49)</f>
        <v>-0.0000816824028876671+0.00990502228850083i</v>
      </c>
      <c r="F49" t="str">
        <f>IMPRODUCT(E13,E49)</f>
        <v>1.00028208680635+0.0000490033831411392i</v>
      </c>
      <c r="G49">
        <f>IMABS(F49)</f>
        <v>1.000282088006677</v>
      </c>
    </row>
    <row r="50" spans="1:7">
      <c r="A50">
        <v>15.918279</v>
      </c>
      <c r="B50" s="1">
        <v>-8.3140886287689906E-5</v>
      </c>
      <c r="C50">
        <v>9.9034411269787997E-3</v>
      </c>
      <c r="D50" s="2">
        <f t="shared" ref="D50:D68" si="2">C50/2/PI()/A50</f>
        <v>9.9017086519104656E-5</v>
      </c>
      <c r="E50" s="2" t="str">
        <f t="shared" ref="E50:E68" si="3">COMPLEX(B50,C50)</f>
        <v>-0.0000831408862876899+0.0099034411269788i</v>
      </c>
      <c r="F50" t="str">
        <f t="shared" ref="F50:F68" si="4">IMPRODUCT(E14,E50)</f>
        <v>1.00002065596973+0.000196256336790471i</v>
      </c>
      <c r="G50">
        <f t="shared" ref="G50:G68" si="5">IMABS(F50)</f>
        <v>1.0000206752276068</v>
      </c>
    </row>
    <row r="51" spans="1:7">
      <c r="A51">
        <v>15.918279</v>
      </c>
      <c r="B51" s="1">
        <v>-8.1294086058413296E-5</v>
      </c>
      <c r="C51">
        <v>9.9042779165587E-3</v>
      </c>
      <c r="D51" s="2">
        <f t="shared" si="2"/>
        <v>9.9025452951051783E-5</v>
      </c>
      <c r="E51" s="2" t="str">
        <f t="shared" si="3"/>
        <v>-0.0000812940860584133+0.0099042779165587i</v>
      </c>
      <c r="F51" t="str">
        <f t="shared" si="4"/>
        <v>1.00021951406787+0.0000753284636401483i</v>
      </c>
      <c r="G51">
        <f t="shared" si="5"/>
        <v>1.0002195169044361</v>
      </c>
    </row>
    <row r="52" spans="1:7">
      <c r="A52">
        <v>15.918279</v>
      </c>
      <c r="B52" s="1">
        <v>-8.2036289397108896E-5</v>
      </c>
      <c r="C52">
        <v>9.9043579572714105E-3</v>
      </c>
      <c r="D52" s="2">
        <f t="shared" si="2"/>
        <v>9.9026253218158325E-5</v>
      </c>
      <c r="E52" s="2" t="str">
        <f t="shared" si="3"/>
        <v>-0.0000820362893971089+0.00990435795727141i</v>
      </c>
      <c r="F52" t="str">
        <f t="shared" si="4"/>
        <v>1.00014341780584+0.000107647036951103i</v>
      </c>
      <c r="G52">
        <f t="shared" si="5"/>
        <v>1.0001434235989513</v>
      </c>
    </row>
    <row r="53" spans="1:7">
      <c r="A53">
        <v>15.918279</v>
      </c>
      <c r="B53" s="1">
        <v>-8.0758477377656693E-5</v>
      </c>
      <c r="C53">
        <v>9.9037956189165395E-3</v>
      </c>
      <c r="D53" s="2">
        <f t="shared" si="2"/>
        <v>9.902063081834565E-5</v>
      </c>
      <c r="E53" s="2" t="str">
        <f t="shared" si="3"/>
        <v>-0.0000807584773776567+0.00990379561891654i</v>
      </c>
      <c r="F53" t="str">
        <f t="shared" si="4"/>
        <v>1.00012167003702+0.000052939904253568i</v>
      </c>
      <c r="G53">
        <f t="shared" si="5"/>
        <v>1.0001216714381662</v>
      </c>
    </row>
    <row r="54" spans="1:7">
      <c r="A54">
        <v>159.18338600000001</v>
      </c>
      <c r="B54" s="1">
        <v>4.11171561933128E-5</v>
      </c>
      <c r="C54">
        <v>9.9080954939230095E-2</v>
      </c>
      <c r="D54" s="2">
        <f t="shared" si="2"/>
        <v>9.9063251141320817E-5</v>
      </c>
      <c r="E54" s="2" t="str">
        <f t="shared" si="3"/>
        <v>0.0000411171561933128+0.0990809549392301i</v>
      </c>
      <c r="F54" t="str">
        <f t="shared" si="4"/>
        <v>1.00006319771415+5.40502091351267E-06i</v>
      </c>
      <c r="G54">
        <f t="shared" si="5"/>
        <v>1.0000631977287562</v>
      </c>
    </row>
    <row r="55" spans="1:7">
      <c r="A55">
        <v>159.18338600000001</v>
      </c>
      <c r="B55" s="1">
        <v>4.0684799962474699E-5</v>
      </c>
      <c r="C55">
        <v>9.9079757207026498E-2</v>
      </c>
      <c r="D55" s="2">
        <f t="shared" si="2"/>
        <v>9.9062053623128163E-5</v>
      </c>
      <c r="E55" s="2" t="str">
        <f t="shared" si="3"/>
        <v>0.0000406847999624747+0.0990797572070265i</v>
      </c>
      <c r="F55" t="str">
        <f t="shared" si="4"/>
        <v>1.00005179591876+5.67209621757945E-06i</v>
      </c>
      <c r="G55">
        <f t="shared" si="5"/>
        <v>1.0000517959348456</v>
      </c>
    </row>
    <row r="56" spans="1:7">
      <c r="A56">
        <v>159.18338600000001</v>
      </c>
      <c r="B56" s="1">
        <v>4.1693243616963498E-5</v>
      </c>
      <c r="C56">
        <v>9.9078109553947705E-2</v>
      </c>
      <c r="D56" s="2">
        <f t="shared" si="2"/>
        <v>9.9060406264452218E-5</v>
      </c>
      <c r="E56" s="2" t="str">
        <f t="shared" si="3"/>
        <v>0.0000416932436169635+0.0990781095539477i</v>
      </c>
      <c r="F56" t="str">
        <f t="shared" si="4"/>
        <v>1.00003433129236-3.64031938009167E-06i</v>
      </c>
      <c r="G56">
        <f t="shared" si="5"/>
        <v>1.0000343312989857</v>
      </c>
    </row>
    <row r="57" spans="1:7">
      <c r="A57">
        <v>159.18338600000001</v>
      </c>
      <c r="B57" s="1">
        <v>4.06931518750972E-5</v>
      </c>
      <c r="C57">
        <v>9.9081037398644503E-2</v>
      </c>
      <c r="D57" s="2">
        <f t="shared" si="2"/>
        <v>9.9063333586001362E-5</v>
      </c>
      <c r="E57" s="2" t="str">
        <f t="shared" si="3"/>
        <v>0.0000406931518750972+0.0990810373986445i</v>
      </c>
      <c r="F57" t="str">
        <f t="shared" si="4"/>
        <v>1.00004223571517+8.59139266808968E-06i</v>
      </c>
      <c r="G57">
        <f t="shared" si="5"/>
        <v>1.0000422357520744</v>
      </c>
    </row>
    <row r="58" spans="1:7">
      <c r="A58">
        <v>159.18338600000001</v>
      </c>
      <c r="B58" s="1">
        <v>4.1143740506893403E-5</v>
      </c>
      <c r="C58">
        <v>9.9081744761567794E-2</v>
      </c>
      <c r="D58" s="2">
        <f t="shared" si="2"/>
        <v>9.9064040822532948E-5</v>
      </c>
      <c r="E58" s="2" t="str">
        <f t="shared" si="3"/>
        <v>0.0000411437405068934+0.0990817447615678i</v>
      </c>
      <c r="F58" t="str">
        <f t="shared" si="4"/>
        <v>1.0000517866865-5.36143209815083E-07i</v>
      </c>
      <c r="G58">
        <f t="shared" si="5"/>
        <v>1.0000517866866436</v>
      </c>
    </row>
    <row r="59" spans="1:7">
      <c r="A59">
        <v>1591.630257</v>
      </c>
      <c r="B59">
        <v>8.89454995232413E-4</v>
      </c>
      <c r="C59">
        <v>0.99001860518805396</v>
      </c>
      <c r="D59" s="2">
        <f t="shared" si="2"/>
        <v>9.8996833011715188E-5</v>
      </c>
      <c r="E59" s="2" t="str">
        <f t="shared" si="3"/>
        <v>0.000889454995232413+0.990018605188054i</v>
      </c>
      <c r="F59" t="str">
        <f t="shared" si="4"/>
        <v>1.00002214295086-0.0000311978206607109i</v>
      </c>
      <c r="G59">
        <f t="shared" si="5"/>
        <v>1.0000221434375012</v>
      </c>
    </row>
    <row r="60" spans="1:7">
      <c r="A60">
        <v>1591.630257</v>
      </c>
      <c r="B60">
        <v>8.86953349960752E-4</v>
      </c>
      <c r="C60">
        <v>0.99002628070718801</v>
      </c>
      <c r="D60" s="2">
        <f t="shared" si="2"/>
        <v>9.8997600524650814E-5</v>
      </c>
      <c r="E60" s="2" t="str">
        <f t="shared" si="3"/>
        <v>0.000886953349960752+0.990026280707188i</v>
      </c>
      <c r="F60" t="str">
        <f t="shared" si="4"/>
        <v>1.00001681590093-0.0000312651531718608i</v>
      </c>
      <c r="G60">
        <f t="shared" si="5"/>
        <v>1.0000168163896765</v>
      </c>
    </row>
    <row r="61" spans="1:7">
      <c r="A61">
        <v>1591.630257</v>
      </c>
      <c r="B61">
        <v>8.8117576800554598E-4</v>
      </c>
      <c r="C61">
        <v>0.99000564232163002</v>
      </c>
      <c r="D61" s="2">
        <f t="shared" si="2"/>
        <v>9.8995536790900748E-5</v>
      </c>
      <c r="E61" s="2" t="str">
        <f t="shared" si="3"/>
        <v>0.000881175768005546+0.99000564232163i</v>
      </c>
      <c r="F61" t="str">
        <f t="shared" si="4"/>
        <v>1.00000132203637-0.0000243885086025384i</v>
      </c>
      <c r="G61">
        <f t="shared" si="5"/>
        <v>1.0000013223337694</v>
      </c>
    </row>
    <row r="62" spans="1:7">
      <c r="A62">
        <v>1591.630257</v>
      </c>
      <c r="B62">
        <v>8.7848486735020003E-4</v>
      </c>
      <c r="C62">
        <v>0.99001522124182295</v>
      </c>
      <c r="D62" s="2">
        <f t="shared" si="2"/>
        <v>9.8996494634276421E-5</v>
      </c>
      <c r="E62" s="2" t="str">
        <f t="shared" si="3"/>
        <v>0.0008784848673502+0.990015221241823i</v>
      </c>
      <c r="F62" t="str">
        <f t="shared" si="4"/>
        <v>0.999999594779863-0.0000163941120699257i</v>
      </c>
      <c r="G62">
        <f t="shared" si="5"/>
        <v>0.99999959491424661</v>
      </c>
    </row>
    <row r="63" spans="1:7">
      <c r="A63">
        <v>1591.630257</v>
      </c>
      <c r="B63">
        <v>8.9183561000332401E-4</v>
      </c>
      <c r="C63">
        <v>0.99001642664058898</v>
      </c>
      <c r="D63" s="2">
        <f t="shared" si="2"/>
        <v>9.8996615168031788E-5</v>
      </c>
      <c r="E63" s="2" t="str">
        <f t="shared" si="3"/>
        <v>0.000891835610003324+0.990016426640589i</v>
      </c>
      <c r="F63" t="str">
        <f t="shared" si="4"/>
        <v>1.00000322193296-0.0000353514514619265i</v>
      </c>
      <c r="G63">
        <f t="shared" si="5"/>
        <v>1.0000032225578204</v>
      </c>
    </row>
    <row r="64" spans="1:7">
      <c r="A64">
        <v>15918.331518999999</v>
      </c>
      <c r="B64">
        <v>4.9540303648979503E-2</v>
      </c>
      <c r="C64">
        <v>9.8975754180696605</v>
      </c>
      <c r="D64" s="2">
        <f t="shared" si="2"/>
        <v>9.8958113199892531E-5</v>
      </c>
      <c r="E64" s="2" t="str">
        <f t="shared" si="3"/>
        <v>0.0495403036489795+9.89757541806966i</v>
      </c>
      <c r="F64" t="str">
        <f t="shared" si="4"/>
        <v>1.00007609016057-0.000267095166611738i</v>
      </c>
      <c r="G64">
        <f t="shared" si="5"/>
        <v>1.0000761258277695</v>
      </c>
    </row>
    <row r="65" spans="1:7">
      <c r="A65">
        <v>15918.331518999999</v>
      </c>
      <c r="B65">
        <v>4.9182465755457198E-2</v>
      </c>
      <c r="C65">
        <v>9.8975565401470007</v>
      </c>
      <c r="D65" s="2">
        <f t="shared" si="2"/>
        <v>9.8957924454313062E-5</v>
      </c>
      <c r="E65" s="2" t="str">
        <f t="shared" si="3"/>
        <v>0.0491824657554572+9.897556540147i</v>
      </c>
      <c r="F65" t="str">
        <f t="shared" si="4"/>
        <v>1.00006414554087-0.000385776645126875i</v>
      </c>
      <c r="G65">
        <f t="shared" si="5"/>
        <v>1.0000642199479044</v>
      </c>
    </row>
    <row r="66" spans="1:7">
      <c r="A66">
        <v>15918.331518999999</v>
      </c>
      <c r="B66">
        <v>4.8664256397406298E-2</v>
      </c>
      <c r="C66">
        <v>9.8976800341930904</v>
      </c>
      <c r="D66" s="2">
        <f t="shared" si="2"/>
        <v>9.8959159174663886E-5</v>
      </c>
      <c r="E66" s="2" t="str">
        <f t="shared" si="3"/>
        <v>0.0486642563974063+9.89768003419309i</v>
      </c>
      <c r="F66" t="str">
        <f t="shared" si="4"/>
        <v>1.00009848549355-0.000173338476389934i</v>
      </c>
      <c r="G66">
        <f t="shared" si="5"/>
        <v>1.0000985005151841</v>
      </c>
    </row>
    <row r="67" spans="1:7">
      <c r="A67">
        <v>15918.331518999999</v>
      </c>
      <c r="B67">
        <v>4.85423529122277E-2</v>
      </c>
      <c r="C67">
        <v>9.8976838794589508</v>
      </c>
      <c r="D67" s="2">
        <f t="shared" si="2"/>
        <v>9.8959197620468857E-5</v>
      </c>
      <c r="E67" s="2" t="str">
        <f t="shared" si="3"/>
        <v>0.0485423529122277+9.89768387945895i</v>
      </c>
      <c r="F67" t="str">
        <f t="shared" si="4"/>
        <v>1.0000859656959-0.000215851733708121i</v>
      </c>
      <c r="G67">
        <f t="shared" si="5"/>
        <v>1.0000859889898828</v>
      </c>
    </row>
    <row r="68" spans="1:7">
      <c r="A68">
        <v>15918.331518999999</v>
      </c>
      <c r="B68">
        <v>4.9195677817117103E-2</v>
      </c>
      <c r="C68">
        <v>9.8976081204820296</v>
      </c>
      <c r="D68" s="2">
        <f t="shared" si="2"/>
        <v>9.8958440165728949E-5</v>
      </c>
      <c r="E68" s="2" t="str">
        <f t="shared" si="3"/>
        <v>0.0491956778171171+9.89760812048203i</v>
      </c>
      <c r="F68" t="str">
        <f t="shared" si="4"/>
        <v>1.00007633283131-0.000462763550831614i</v>
      </c>
      <c r="G68">
        <f t="shared" si="5"/>
        <v>1.0000764398981836</v>
      </c>
    </row>
    <row r="69" spans="1:7">
      <c r="A69" t="s">
        <v>23</v>
      </c>
      <c r="B69" t="s">
        <v>1</v>
      </c>
      <c r="C69" t="s">
        <v>2</v>
      </c>
      <c r="D69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"/>
  <sheetViews>
    <sheetView workbookViewId="0">
      <selection activeCell="D49" sqref="D49:E68"/>
    </sheetView>
  </sheetViews>
  <sheetFormatPr baseColWidth="10" defaultRowHeight="15" x14ac:dyDescent="0"/>
  <cols>
    <col min="1" max="1" width="25" style="2" bestFit="1" customWidth="1"/>
    <col min="2" max="2" width="27.1640625" style="2" bestFit="1" customWidth="1"/>
    <col min="3" max="3" width="24" style="2" bestFit="1" customWidth="1"/>
    <col min="4" max="4" width="21" style="2" bestFit="1" customWidth="1"/>
    <col min="5" max="5" width="43.6640625" style="2" customWidth="1"/>
    <col min="6" max="6" width="10.83203125" style="2"/>
    <col min="7" max="7" width="21" style="2" bestFit="1" customWidth="1"/>
    <col min="8" max="16384" width="10.83203125" style="2"/>
  </cols>
  <sheetData>
    <row r="1" spans="1:6">
      <c r="A1" s="2" t="s">
        <v>0</v>
      </c>
      <c r="B1" s="2" t="s">
        <v>1</v>
      </c>
      <c r="C1" s="2" t="s">
        <v>2</v>
      </c>
      <c r="D1" s="2" t="s">
        <v>24</v>
      </c>
    </row>
    <row r="2" spans="1:6">
      <c r="A2" s="2" t="s">
        <v>3</v>
      </c>
      <c r="B2" s="2" t="s">
        <v>4</v>
      </c>
      <c r="C2" s="2" t="s">
        <v>2</v>
      </c>
      <c r="D2" s="2" t="s">
        <v>25</v>
      </c>
    </row>
    <row r="3" spans="1:6">
      <c r="A3" s="2" t="s">
        <v>5</v>
      </c>
      <c r="B3" s="2" t="s">
        <v>2</v>
      </c>
      <c r="C3" s="2" t="s">
        <v>6</v>
      </c>
    </row>
    <row r="4" spans="1:6">
      <c r="A4" s="2" t="s">
        <v>7</v>
      </c>
      <c r="F4" s="3" t="s">
        <v>64</v>
      </c>
    </row>
    <row r="5" spans="1:6">
      <c r="B5" s="2" t="s">
        <v>8</v>
      </c>
      <c r="C5" s="2" t="s">
        <v>9</v>
      </c>
    </row>
    <row r="6" spans="1:6">
      <c r="B6" s="2" t="s">
        <v>10</v>
      </c>
      <c r="C6" s="2" t="s">
        <v>11</v>
      </c>
    </row>
    <row r="7" spans="1:6">
      <c r="B7" s="2" t="s">
        <v>12</v>
      </c>
      <c r="C7" s="2" t="s">
        <v>13</v>
      </c>
    </row>
    <row r="8" spans="1:6">
      <c r="B8" s="2" t="s">
        <v>14</v>
      </c>
      <c r="C8" s="2" t="s">
        <v>43</v>
      </c>
    </row>
    <row r="9" spans="1:6">
      <c r="B9" s="2" t="s">
        <v>15</v>
      </c>
      <c r="C9" s="2" t="s">
        <v>16</v>
      </c>
    </row>
    <row r="10" spans="1:6">
      <c r="B10" s="2" t="s">
        <v>17</v>
      </c>
      <c r="C10" s="2" t="s">
        <v>18</v>
      </c>
    </row>
    <row r="11" spans="1:6">
      <c r="A11" s="2" t="s">
        <v>19</v>
      </c>
    </row>
    <row r="12" spans="1:6">
      <c r="A12" s="2" t="s">
        <v>20</v>
      </c>
      <c r="B12" s="2">
        <v>3348000</v>
      </c>
      <c r="C12" s="2" t="s">
        <v>21</v>
      </c>
      <c r="D12" s="2" t="s">
        <v>22</v>
      </c>
      <c r="E12" s="2">
        <v>3407872</v>
      </c>
    </row>
    <row r="13" spans="1:6">
      <c r="A13" s="2">
        <v>15.918279</v>
      </c>
      <c r="B13" s="2">
        <v>3.2147429512919E-4</v>
      </c>
      <c r="C13" s="2">
        <v>0.99803914310960196</v>
      </c>
      <c r="D13" s="2">
        <f>C13/2/PI()/A13</f>
        <v>9.9786454945972915E-3</v>
      </c>
      <c r="E13" s="2" t="str">
        <f>COMPLEX(B13,C13)</f>
        <v>0.00032147429512919+0.998039143109602i</v>
      </c>
    </row>
    <row r="14" spans="1:6">
      <c r="A14" s="2">
        <v>15.918279</v>
      </c>
      <c r="B14" s="2">
        <v>3.1558428378991398E-4</v>
      </c>
      <c r="C14" s="2">
        <v>0.99811828874092601</v>
      </c>
      <c r="D14" s="2">
        <f t="shared" ref="D14:D32" si="0">C14/2/PI()/A14</f>
        <v>9.9794368124557966E-3</v>
      </c>
      <c r="E14" s="2" t="str">
        <f t="shared" ref="E14:E32" si="1">COMPLEX(B14,C14)</f>
        <v>0.000315584283789914+0.998118288740926i</v>
      </c>
    </row>
    <row r="15" spans="1:6">
      <c r="A15" s="2">
        <v>15.918279</v>
      </c>
      <c r="B15" s="2">
        <v>3.14741385853922E-4</v>
      </c>
      <c r="C15" s="2">
        <v>0.99817026813007703</v>
      </c>
      <c r="D15" s="2">
        <f t="shared" si="0"/>
        <v>9.9799565154162911E-3</v>
      </c>
      <c r="E15" s="2" t="str">
        <f t="shared" si="1"/>
        <v>0.000314741385853922+0.998170268130077i</v>
      </c>
    </row>
    <row r="16" spans="1:6">
      <c r="A16" s="2">
        <v>15.918279</v>
      </c>
      <c r="B16" s="2">
        <v>3.11324013475081E-4</v>
      </c>
      <c r="C16" s="2">
        <v>0.99820457648892102</v>
      </c>
      <c r="D16" s="2">
        <f t="shared" si="0"/>
        <v>9.9802995389868289E-3</v>
      </c>
      <c r="E16" s="2" t="str">
        <f t="shared" si="1"/>
        <v>0.000311324013475081+0.998204576488921i</v>
      </c>
    </row>
    <row r="17" spans="1:5">
      <c r="A17" s="2">
        <v>15.918279</v>
      </c>
      <c r="B17" s="2">
        <v>3.0974083880095602E-4</v>
      </c>
      <c r="C17" s="2">
        <v>0.99823722008563198</v>
      </c>
      <c r="D17" s="2">
        <f t="shared" si="0"/>
        <v>9.9806259178483164E-3</v>
      </c>
      <c r="E17" s="2" t="str">
        <f t="shared" si="1"/>
        <v>0.000309740838800956+0.998237220085632i</v>
      </c>
    </row>
    <row r="18" spans="1:5">
      <c r="A18" s="2">
        <v>159.18338600000001</v>
      </c>
      <c r="B18" s="2">
        <v>8.8415660190648906E-3</v>
      </c>
      <c r="C18" s="2">
        <v>9.9759263950126496</v>
      </c>
      <c r="D18" s="2">
        <f t="shared" si="0"/>
        <v>9.9741438951874966E-3</v>
      </c>
      <c r="E18" s="2" t="str">
        <f t="shared" si="1"/>
        <v>0.00884156601906489+9.97592639501265i</v>
      </c>
    </row>
    <row r="19" spans="1:5">
      <c r="A19" s="2">
        <v>159.18338600000001</v>
      </c>
      <c r="B19" s="2">
        <v>8.8819053831761408E-3</v>
      </c>
      <c r="C19" s="2">
        <v>9.9760453516024494</v>
      </c>
      <c r="D19" s="2">
        <f t="shared" si="0"/>
        <v>9.9742628305221157E-3</v>
      </c>
      <c r="E19" s="2" t="str">
        <f t="shared" si="1"/>
        <v>0.00888190538317614+9.97604535160245i</v>
      </c>
    </row>
    <row r="20" spans="1:5">
      <c r="A20" s="2">
        <v>159.18338600000001</v>
      </c>
      <c r="B20" s="2">
        <v>8.86941907927161E-3</v>
      </c>
      <c r="C20" s="2">
        <v>9.9764199569676801</v>
      </c>
      <c r="D20" s="2">
        <f t="shared" si="0"/>
        <v>9.9746373689528125E-3</v>
      </c>
      <c r="E20" s="2" t="str">
        <f t="shared" si="1"/>
        <v>0.00886941907927161+9.97641995696768i</v>
      </c>
    </row>
    <row r="21" spans="1:5">
      <c r="A21" s="2">
        <v>159.18338600000001</v>
      </c>
      <c r="B21" s="2">
        <v>8.8933323788674603E-3</v>
      </c>
      <c r="C21" s="2">
        <v>9.9764698925658699</v>
      </c>
      <c r="D21" s="2">
        <f t="shared" si="0"/>
        <v>9.974687295628502E-3</v>
      </c>
      <c r="E21" s="2" t="str">
        <f t="shared" si="1"/>
        <v>0.00889333237886746+9.97646989256587i</v>
      </c>
    </row>
    <row r="22" spans="1:5">
      <c r="A22" s="2">
        <v>159.18338600000001</v>
      </c>
      <c r="B22" s="2">
        <v>8.9064467617446796E-3</v>
      </c>
      <c r="C22" s="2">
        <v>9.9763959521045091</v>
      </c>
      <c r="D22" s="2">
        <f t="shared" si="0"/>
        <v>9.9746133683788329E-3</v>
      </c>
      <c r="E22" s="2" t="str">
        <f t="shared" si="1"/>
        <v>0.00890644676174468+9.97639595210451i</v>
      </c>
    </row>
    <row r="23" spans="1:5">
      <c r="A23" s="2">
        <v>1591.630257</v>
      </c>
      <c r="B23" s="2">
        <v>0.444169941281995</v>
      </c>
      <c r="C23" s="2">
        <v>99.692619646439198</v>
      </c>
      <c r="D23" s="2">
        <f t="shared" si="0"/>
        <v>9.9687557061256572E-3</v>
      </c>
      <c r="E23" s="2" t="str">
        <f t="shared" si="1"/>
        <v>0.444169941281995+99.6926196464392i</v>
      </c>
    </row>
    <row r="24" spans="1:5">
      <c r="A24" s="2">
        <v>1591.630257</v>
      </c>
      <c r="B24" s="2">
        <v>0.44526412572754698</v>
      </c>
      <c r="C24" s="2">
        <v>99.693391736685001</v>
      </c>
      <c r="D24" s="2">
        <f t="shared" si="0"/>
        <v>9.9688329112294135E-3</v>
      </c>
      <c r="E24" s="2" t="str">
        <f t="shared" si="1"/>
        <v>0.445264125727547+99.693391736685i</v>
      </c>
    </row>
    <row r="25" spans="1:5">
      <c r="A25" s="2">
        <v>1591.630257</v>
      </c>
      <c r="B25" s="2">
        <v>0.44290059083989503</v>
      </c>
      <c r="C25" s="2">
        <v>99.698560835531595</v>
      </c>
      <c r="D25" s="2">
        <f t="shared" si="0"/>
        <v>9.9693497948643833E-3</v>
      </c>
      <c r="E25" s="2" t="str">
        <f t="shared" si="1"/>
        <v>0.442900590839895+99.6985608355316i</v>
      </c>
    </row>
    <row r="26" spans="1:5">
      <c r="A26" s="2">
        <v>1591.630257</v>
      </c>
      <c r="B26" s="2">
        <v>0.44342878954977799</v>
      </c>
      <c r="C26" s="2">
        <v>99.699158455204099</v>
      </c>
      <c r="D26" s="2">
        <f t="shared" si="0"/>
        <v>9.9694095537968055E-3</v>
      </c>
      <c r="E26" s="2" t="str">
        <f t="shared" si="1"/>
        <v>0.443428789549778+99.6991584552041i</v>
      </c>
    </row>
    <row r="27" spans="1:5">
      <c r="A27" s="2">
        <v>1591.630257</v>
      </c>
      <c r="B27" s="2">
        <v>0.44572166846254202</v>
      </c>
      <c r="C27" s="2">
        <v>99.703016465962094</v>
      </c>
      <c r="D27" s="2">
        <f t="shared" si="0"/>
        <v>9.969795335280876E-3</v>
      </c>
      <c r="E27" s="2" t="str">
        <f t="shared" si="1"/>
        <v>0.445721668462542+99.7030164659621i</v>
      </c>
    </row>
    <row r="28" spans="1:5">
      <c r="A28" s="2">
        <v>15918.331518999999</v>
      </c>
      <c r="B28" s="2">
        <v>40.588930570814597</v>
      </c>
      <c r="C28" s="2">
        <v>1015.87518275628</v>
      </c>
      <c r="D28" s="2">
        <f t="shared" si="0"/>
        <v>1.0156941178606729E-2</v>
      </c>
      <c r="E28" s="2" t="str">
        <f t="shared" si="1"/>
        <v>40.5889305708146+1015.87518275628i</v>
      </c>
    </row>
    <row r="29" spans="1:5">
      <c r="A29" s="2">
        <v>15918.331518999999</v>
      </c>
      <c r="B29" s="2">
        <v>40.369019040289601</v>
      </c>
      <c r="C29" s="2">
        <v>1016.01345433596</v>
      </c>
      <c r="D29" s="2">
        <f t="shared" si="0"/>
        <v>1.0158323647954661E-2</v>
      </c>
      <c r="E29" s="2" t="str">
        <f t="shared" si="1"/>
        <v>40.3690190402896+1016.01345433596i</v>
      </c>
    </row>
    <row r="30" spans="1:5">
      <c r="A30" s="2">
        <v>15918.331518999999</v>
      </c>
      <c r="B30" s="2">
        <v>40.807803715522802</v>
      </c>
      <c r="C30" s="2">
        <v>1015.78760462503</v>
      </c>
      <c r="D30" s="2">
        <f t="shared" si="0"/>
        <v>1.0156065553389442E-2</v>
      </c>
      <c r="E30" s="2" t="str">
        <f t="shared" si="1"/>
        <v>40.8078037155228+1015.78760462503i</v>
      </c>
    </row>
    <row r="31" spans="1:5">
      <c r="A31" s="2">
        <v>15918.331518999999</v>
      </c>
      <c r="B31" s="2">
        <v>40.502439258472201</v>
      </c>
      <c r="C31" s="2">
        <v>1015.7929936512</v>
      </c>
      <c r="D31" s="2">
        <f t="shared" si="0"/>
        <v>1.0156119434045992E-2</v>
      </c>
      <c r="E31" s="2" t="str">
        <f t="shared" si="1"/>
        <v>40.5024392584722+1015.7929936512i</v>
      </c>
    </row>
    <row r="32" spans="1:5">
      <c r="A32" s="2">
        <v>15918.331518999999</v>
      </c>
      <c r="B32" s="2">
        <v>40.643482444177501</v>
      </c>
      <c r="C32" s="2">
        <v>1015.59535161</v>
      </c>
      <c r="D32" s="2">
        <f t="shared" si="0"/>
        <v>1.0154143365902028E-2</v>
      </c>
      <c r="E32" s="2" t="str">
        <f t="shared" si="1"/>
        <v>40.6434824441775+1015.59535161i</v>
      </c>
    </row>
    <row r="33" spans="1:5">
      <c r="A33" s="2" t="s">
        <v>23</v>
      </c>
      <c r="B33" s="2" t="s">
        <v>1</v>
      </c>
      <c r="C33" s="2" t="s">
        <v>2</v>
      </c>
      <c r="D33" s="2" t="s">
        <v>26</v>
      </c>
    </row>
    <row r="37" spans="1:5">
      <c r="A37" s="2" t="s">
        <v>0</v>
      </c>
      <c r="B37" s="2" t="s">
        <v>1</v>
      </c>
      <c r="C37" s="2" t="s">
        <v>2</v>
      </c>
      <c r="D37" s="2" t="s">
        <v>24</v>
      </c>
    </row>
    <row r="38" spans="1:5">
      <c r="A38" s="2" t="s">
        <v>3</v>
      </c>
      <c r="B38" s="2" t="s">
        <v>4</v>
      </c>
      <c r="C38" s="2" t="s">
        <v>2</v>
      </c>
      <c r="D38" s="2" t="s">
        <v>25</v>
      </c>
    </row>
    <row r="39" spans="1:5">
      <c r="A39" s="2" t="s">
        <v>5</v>
      </c>
      <c r="B39" s="2" t="s">
        <v>2</v>
      </c>
      <c r="C39" s="2" t="s">
        <v>6</v>
      </c>
    </row>
    <row r="40" spans="1:5">
      <c r="A40" s="2" t="s">
        <v>7</v>
      </c>
    </row>
    <row r="41" spans="1:5">
      <c r="B41" s="2" t="s">
        <v>8</v>
      </c>
      <c r="C41" s="2" t="s">
        <v>9</v>
      </c>
    </row>
    <row r="42" spans="1:5">
      <c r="B42" s="2" t="s">
        <v>10</v>
      </c>
      <c r="C42" s="2" t="s">
        <v>11</v>
      </c>
    </row>
    <row r="43" spans="1:5">
      <c r="B43" s="2" t="s">
        <v>12</v>
      </c>
      <c r="C43" s="2" t="s">
        <v>13</v>
      </c>
    </row>
    <row r="44" spans="1:5">
      <c r="B44" s="2" t="s">
        <v>14</v>
      </c>
      <c r="C44" s="2" t="s">
        <v>43</v>
      </c>
    </row>
    <row r="45" spans="1:5">
      <c r="B45" s="2" t="s">
        <v>15</v>
      </c>
      <c r="C45" s="2" t="s">
        <v>16</v>
      </c>
    </row>
    <row r="46" spans="1:5">
      <c r="B46" s="2" t="s">
        <v>17</v>
      </c>
      <c r="C46" s="2" t="s">
        <v>18</v>
      </c>
    </row>
    <row r="47" spans="1:5">
      <c r="A47" s="2" t="s">
        <v>19</v>
      </c>
    </row>
    <row r="48" spans="1:5">
      <c r="A48" s="2" t="s">
        <v>20</v>
      </c>
      <c r="B48" s="2">
        <v>3348000</v>
      </c>
      <c r="C48" s="2" t="s">
        <v>21</v>
      </c>
      <c r="D48" s="2" t="s">
        <v>22</v>
      </c>
      <c r="E48" s="2">
        <v>3407872</v>
      </c>
    </row>
    <row r="49" spans="1:7">
      <c r="A49" s="2">
        <v>15.918279</v>
      </c>
      <c r="B49" s="2">
        <v>4.5166347796690199E-4</v>
      </c>
      <c r="C49" s="2">
        <v>-1.00158706136392</v>
      </c>
      <c r="D49" s="2">
        <f>-1/C49/2/PI()/A49</f>
        <v>9.9824079392840884E-3</v>
      </c>
      <c r="E49" s="2" t="str">
        <f>COMPLEX(B49,C49)</f>
        <v>0.000451663477966902-1.00158706136392i</v>
      </c>
      <c r="F49" s="2" t="str">
        <f>IMPRODUCT(E13,E49)</f>
        <v>0.999623237671509+0.000128793335961507i</v>
      </c>
      <c r="G49" s="2">
        <f>IMABS(F49)</f>
        <v>0.99962324596849661</v>
      </c>
    </row>
    <row r="50" spans="1:7">
      <c r="A50" s="2">
        <v>15.918279</v>
      </c>
      <c r="B50" s="2">
        <v>4.4789874313200202E-4</v>
      </c>
      <c r="C50" s="2">
        <v>-1.0015818893852999</v>
      </c>
      <c r="D50" s="2">
        <f t="shared" ref="D50:D68" si="2">-1/C50/2/PI()/A50</f>
        <v>9.9824594865424669E-3</v>
      </c>
      <c r="E50" s="2" t="str">
        <f t="shared" ref="E50:E68" si="3">COMPLEX(B50,C50)</f>
        <v>0.000447898743132002-1.0015818893853i</v>
      </c>
      <c r="F50" s="2" t="str">
        <f t="shared" ref="F50:F68" si="4">IMPRODUCT(E14,E50)</f>
        <v>0.999697342816963+0.000130972423805517i</v>
      </c>
      <c r="G50" s="2">
        <f t="shared" ref="G50:G68" si="5">IMABS(F50)</f>
        <v>0.99969735139644744</v>
      </c>
    </row>
    <row r="51" spans="1:7">
      <c r="A51" s="2">
        <v>15.918279</v>
      </c>
      <c r="B51" s="2">
        <v>4.5099943961416798E-4</v>
      </c>
      <c r="C51" s="2">
        <v>-1.0015847893162799</v>
      </c>
      <c r="D51" s="2">
        <f t="shared" si="2"/>
        <v>9.9824305839035388E-3</v>
      </c>
      <c r="E51" s="2" t="str">
        <f t="shared" si="3"/>
        <v>0.000450999439614168-1.00158478931628i</v>
      </c>
      <c r="F51" s="2" t="str">
        <f t="shared" si="4"/>
        <v>0.999752299655027+0.000134934046926574i</v>
      </c>
      <c r="G51" s="2">
        <f t="shared" si="5"/>
        <v>0.99975230876088095</v>
      </c>
    </row>
    <row r="52" spans="1:7">
      <c r="A52" s="2">
        <v>15.918279</v>
      </c>
      <c r="B52" s="2">
        <v>4.4881010254583999E-4</v>
      </c>
      <c r="C52" s="2">
        <v>-1.0015989284117099</v>
      </c>
      <c r="D52" s="2">
        <f t="shared" si="2"/>
        <v>9.9822896666814376E-3</v>
      </c>
      <c r="E52" s="2" t="str">
        <f t="shared" si="3"/>
        <v>0.00044881010254584-1.00159892841171i</v>
      </c>
      <c r="F52" s="2" t="str">
        <f t="shared" si="4"/>
        <v>0.99980077387233+0.000136182500050246i</v>
      </c>
      <c r="G52" s="2">
        <f t="shared" si="5"/>
        <v>0.99980078314701437</v>
      </c>
    </row>
    <row r="53" spans="1:7">
      <c r="A53" s="2">
        <v>15.918279</v>
      </c>
      <c r="B53" s="2">
        <v>4.53737176996759E-4</v>
      </c>
      <c r="C53" s="2">
        <v>-1.0015921765220099</v>
      </c>
      <c r="D53" s="2">
        <f t="shared" si="2"/>
        <v>9.9823569588591964E-3</v>
      </c>
      <c r="E53" s="2" t="str">
        <f t="shared" si="3"/>
        <v>0.000453737176996759-1.00159217652201i</v>
      </c>
      <c r="F53" s="2" t="str">
        <f t="shared" si="4"/>
        <v>0.999826730491783+0.000142703337322344i</v>
      </c>
      <c r="G53" s="2">
        <f t="shared" si="5"/>
        <v>0.99982674067566868</v>
      </c>
    </row>
    <row r="54" spans="1:7">
      <c r="A54" s="2">
        <v>159.18338600000001</v>
      </c>
      <c r="B54" s="2">
        <v>8.7317800743502502E-5</v>
      </c>
      <c r="C54" s="2">
        <v>-0.10022602217231</v>
      </c>
      <c r="D54" s="2">
        <f t="shared" si="2"/>
        <v>9.9756659817456482E-3</v>
      </c>
      <c r="E54" s="2" t="str">
        <f t="shared" si="3"/>
        <v>0.0000873178007435025-0.10022602217231i</v>
      </c>
      <c r="F54" s="2" t="str">
        <f t="shared" si="4"/>
        <v>0.99984819208197-0.0000150790386731787i</v>
      </c>
      <c r="G54" s="2">
        <f t="shared" si="5"/>
        <v>0.99984819219567589</v>
      </c>
    </row>
    <row r="55" spans="1:7">
      <c r="A55" s="2">
        <v>159.18338600000001</v>
      </c>
      <c r="B55" s="2">
        <v>8.7319525907785103E-5</v>
      </c>
      <c r="C55" s="2">
        <v>-0.100225962063757</v>
      </c>
      <c r="D55" s="2">
        <f t="shared" si="2"/>
        <v>9.9756719644554653E-3</v>
      </c>
      <c r="E55" s="2" t="str">
        <f t="shared" si="3"/>
        <v>0.0000873195259077851-0.100225962063757i</v>
      </c>
      <c r="F55" s="2" t="str">
        <f t="shared" si="4"/>
        <v>0.999859518519794-0.0000190939614516017i</v>
      </c>
      <c r="G55" s="2">
        <f t="shared" si="5"/>
        <v>0.99985951870210921</v>
      </c>
    </row>
    <row r="56" spans="1:7">
      <c r="A56" s="2">
        <v>159.18338600000001</v>
      </c>
      <c r="B56" s="2">
        <v>8.6836383893682705E-5</v>
      </c>
      <c r="C56" s="2">
        <v>-0.100226258293714</v>
      </c>
      <c r="D56" s="2">
        <f t="shared" si="2"/>
        <v>9.9756424802371832E-3</v>
      </c>
      <c r="E56" s="2" t="str">
        <f t="shared" si="3"/>
        <v>0.0000868363838936827-0.100226258293714i</v>
      </c>
      <c r="F56" s="2" t="str">
        <f t="shared" si="4"/>
        <v>0.999900013641886-0.0000226324542864284i</v>
      </c>
      <c r="G56" s="2">
        <f t="shared" si="5"/>
        <v>0.99990001389802563</v>
      </c>
    </row>
    <row r="57" spans="1:7">
      <c r="A57" s="2">
        <v>159.18338600000001</v>
      </c>
      <c r="B57" s="2">
        <v>8.7252299509602298E-5</v>
      </c>
      <c r="C57" s="2">
        <v>-0.100227682027952</v>
      </c>
      <c r="D57" s="2">
        <f t="shared" si="2"/>
        <v>9.97550077623428E-3</v>
      </c>
      <c r="E57" s="2" t="str">
        <f t="shared" si="3"/>
        <v>0.0000872522995096023-0.100227682027952i</v>
      </c>
      <c r="F57" s="2" t="str">
        <f t="shared" si="4"/>
        <v>0.999919228117229-0.0000208881507233306i</v>
      </c>
      <c r="G57" s="2">
        <f t="shared" si="5"/>
        <v>0.99991922833540392</v>
      </c>
    </row>
    <row r="58" spans="1:7">
      <c r="A58" s="2">
        <v>159.18338600000001</v>
      </c>
      <c r="B58" s="2">
        <v>8.76004309656882E-5</v>
      </c>
      <c r="C58" s="2">
        <v>-0.100225032664432</v>
      </c>
      <c r="D58" s="2">
        <f t="shared" si="2"/>
        <v>9.9757644701154169E-3</v>
      </c>
      <c r="E58" s="2" t="str">
        <f t="shared" si="3"/>
        <v>0.0000876004309656882-0.100225032664432i</v>
      </c>
      <c r="F58" s="2" t="str">
        <f t="shared" si="4"/>
        <v>0.999885390381556-0.0000187123327311829i</v>
      </c>
      <c r="G58" s="2">
        <f t="shared" si="5"/>
        <v>0.99988539055665182</v>
      </c>
    </row>
    <row r="59" spans="1:7">
      <c r="A59" s="2">
        <v>1591.630257</v>
      </c>
      <c r="B59" s="2">
        <v>4.1465671240814902E-5</v>
      </c>
      <c r="C59" s="2">
        <v>-1.0029926259907699E-2</v>
      </c>
      <c r="D59" s="2">
        <f t="shared" si="2"/>
        <v>9.9696567267051079E-3</v>
      </c>
      <c r="E59" s="2" t="str">
        <f t="shared" si="3"/>
        <v>0.0000414656712408149-0.0100299262599077i</v>
      </c>
      <c r="F59" s="2" t="str">
        <f t="shared" si="4"/>
        <v>0.999928041515571-0.00032117036653109i</v>
      </c>
      <c r="G59" s="2">
        <f t="shared" si="5"/>
        <v>0.99992809309448338</v>
      </c>
    </row>
    <row r="60" spans="1:7">
      <c r="A60" s="2">
        <v>1591.630257</v>
      </c>
      <c r="B60" s="2">
        <v>4.1473410199330098E-5</v>
      </c>
      <c r="C60" s="2">
        <v>-1.0029762133109001E-2</v>
      </c>
      <c r="D60" s="2">
        <f t="shared" si="2"/>
        <v>9.9698198699403086E-3</v>
      </c>
      <c r="E60" s="2" t="str">
        <f t="shared" si="3"/>
        <v>0.0000414734101993301-0.010029762133109i</v>
      </c>
      <c r="F60" s="2" t="str">
        <f t="shared" si="4"/>
        <v>0.999919471983538-0.000331268337795993i</v>
      </c>
      <c r="G60" s="2">
        <f t="shared" si="5"/>
        <v>0.99991952685731122</v>
      </c>
    </row>
    <row r="61" spans="1:7">
      <c r="A61" s="2">
        <v>1591.630257</v>
      </c>
      <c r="B61" s="2">
        <v>4.1481029155289102E-5</v>
      </c>
      <c r="C61" s="2">
        <v>-1.0029883300439401E-2</v>
      </c>
      <c r="D61" s="2">
        <f t="shared" si="2"/>
        <v>9.9696994282141172E-3</v>
      </c>
      <c r="E61" s="2" t="str">
        <f t="shared" si="3"/>
        <v>0.0000414810291552891-0.0100298833004394i</v>
      </c>
      <c r="F61" s="2" t="str">
        <f t="shared" si="4"/>
        <v>0.999983302374462-0.000306642331060756i</v>
      </c>
      <c r="G61" s="2">
        <f t="shared" si="5"/>
        <v>0.99998334939000555</v>
      </c>
    </row>
    <row r="62" spans="1:7">
      <c r="A62" s="2">
        <v>1591.630257</v>
      </c>
      <c r="B62" s="2">
        <v>4.1910316131120302E-5</v>
      </c>
      <c r="C62" s="2">
        <v>-1.0029566871476299E-2</v>
      </c>
      <c r="D62" s="2">
        <f t="shared" si="2"/>
        <v>9.970013968382492E-3</v>
      </c>
      <c r="E62" s="2" t="str">
        <f t="shared" si="3"/>
        <v>0.0000419103161311203-0.0100295668714763i</v>
      </c>
      <c r="F62" s="2" t="str">
        <f t="shared" si="4"/>
        <v>0.999957960997133-0.00026897544866303i</v>
      </c>
      <c r="G62" s="2">
        <f t="shared" si="5"/>
        <v>0.99995799717254907</v>
      </c>
    </row>
    <row r="63" spans="1:7">
      <c r="A63" s="2">
        <v>1591.630257</v>
      </c>
      <c r="B63" s="2">
        <v>4.1436448733281701E-5</v>
      </c>
      <c r="C63" s="2">
        <v>-1.0029374668880601E-2</v>
      </c>
      <c r="D63" s="2">
        <f t="shared" si="2"/>
        <v>9.9702050333917418E-3</v>
      </c>
      <c r="E63" s="2" t="str">
        <f t="shared" si="3"/>
        <v>0.0000414364487332817-0.0100293746688806i</v>
      </c>
      <c r="F63" s="2" t="str">
        <f t="shared" si="4"/>
        <v>0.99997737687777-0.000338970680704037i</v>
      </c>
      <c r="G63" s="2">
        <f t="shared" si="5"/>
        <v>0.99997743432962938</v>
      </c>
    </row>
    <row r="64" spans="1:7">
      <c r="A64" s="2">
        <v>15918.331518999999</v>
      </c>
      <c r="B64" s="2">
        <v>3.5660518184878301E-5</v>
      </c>
      <c r="C64" s="2">
        <v>-9.8553214517104392E-4</v>
      </c>
      <c r="D64" s="2">
        <f t="shared" si="2"/>
        <v>1.0144993945885384E-2</v>
      </c>
      <c r="E64" s="2" t="str">
        <f t="shared" si="3"/>
        <v>0.0000356605181848783-0.000985532145171044i</v>
      </c>
      <c r="F64" s="2" t="str">
        <f t="shared" si="4"/>
        <v>1.00262507038455-0.00377506038740658i</v>
      </c>
      <c r="G64" s="2">
        <f t="shared" si="5"/>
        <v>1.002632177243755</v>
      </c>
    </row>
    <row r="65" spans="1:7">
      <c r="A65" s="2">
        <v>15918.331518999999</v>
      </c>
      <c r="B65" s="2">
        <v>3.5796913003013701E-5</v>
      </c>
      <c r="C65" s="2">
        <v>-9.8548168996144395E-4</v>
      </c>
      <c r="D65" s="2">
        <f t="shared" si="2"/>
        <v>1.0145513354618337E-2</v>
      </c>
      <c r="E65" s="2" t="str">
        <f t="shared" si="3"/>
        <v>0.0000357969130030137-0.000985481689961444i</v>
      </c>
      <c r="F65" s="2" t="str">
        <f t="shared" si="4"/>
        <v>1.00270774226517-0.00341278387115451i</v>
      </c>
      <c r="G65" s="2">
        <f t="shared" si="5"/>
        <v>1.0027135500691442</v>
      </c>
    </row>
    <row r="66" spans="1:7">
      <c r="A66" s="2">
        <v>15918.331518999999</v>
      </c>
      <c r="B66" s="2">
        <v>3.5954879428553399E-5</v>
      </c>
      <c r="C66" s="2">
        <v>-9.8548329685408309E-4</v>
      </c>
      <c r="D66" s="2">
        <f t="shared" si="2"/>
        <v>1.0145496811719249E-2</v>
      </c>
      <c r="E66" s="2" t="str">
        <f t="shared" si="3"/>
        <v>0.0000359548794285534-0.000985483296854083i</v>
      </c>
      <c r="F66" s="2" t="str">
        <f t="shared" si="4"/>
        <v>1.00250895717172-0.00369288809363569i</v>
      </c>
      <c r="G66" s="2">
        <f t="shared" si="5"/>
        <v>1.0025157587948439</v>
      </c>
    </row>
    <row r="67" spans="1:7">
      <c r="A67" s="2">
        <v>15918.331518999999</v>
      </c>
      <c r="B67" s="2">
        <v>3.5817251600624998E-5</v>
      </c>
      <c r="C67" s="2">
        <v>-9.854389122356201E-4</v>
      </c>
      <c r="D67" s="2">
        <f t="shared" si="2"/>
        <v>1.0145953769527101E-2</v>
      </c>
      <c r="E67" s="2" t="str">
        <f t="shared" si="3"/>
        <v>0.000035817251600625-0.00098543891223562i</v>
      </c>
      <c r="F67" s="2" t="str">
        <f t="shared" si="4"/>
        <v>1.00245262877756-0.00352976645800102i</v>
      </c>
      <c r="G67" s="2">
        <f t="shared" si="5"/>
        <v>1.0024588431423449</v>
      </c>
    </row>
    <row r="68" spans="1:7">
      <c r="A68" s="2">
        <v>15918.331518999999</v>
      </c>
      <c r="B68" s="2">
        <v>3.5914139240505799E-5</v>
      </c>
      <c r="C68" s="2">
        <v>-9.8523907864444789E-4</v>
      </c>
      <c r="D68" s="2">
        <f t="shared" si="2"/>
        <v>1.0148011648088333E-2</v>
      </c>
      <c r="E68" s="2" t="str">
        <f t="shared" si="3"/>
        <v>0.0000359141392405058-0.000985239078644448i</v>
      </c>
      <c r="F68" s="2" t="str">
        <f t="shared" si="4"/>
        <v>1.00206390418354-0.00356931432647125i</v>
      </c>
      <c r="G68" s="2">
        <f t="shared" si="5"/>
        <v>1.0020702610457612</v>
      </c>
    </row>
    <row r="69" spans="1:7">
      <c r="A69" s="2" t="s">
        <v>23</v>
      </c>
      <c r="B69" s="2" t="s">
        <v>1</v>
      </c>
      <c r="C69" s="2" t="s">
        <v>2</v>
      </c>
      <c r="D69" s="2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7"/>
  <sheetViews>
    <sheetView workbookViewId="0">
      <selection activeCell="G157" sqref="G157"/>
    </sheetView>
  </sheetViews>
  <sheetFormatPr baseColWidth="10" defaultRowHeight="15" x14ac:dyDescent="0"/>
  <cols>
    <col min="1" max="1" width="25" style="2" bestFit="1" customWidth="1"/>
    <col min="2" max="2" width="27.1640625" style="2" bestFit="1" customWidth="1"/>
    <col min="3" max="3" width="22.6640625" style="2" bestFit="1" customWidth="1"/>
    <col min="4" max="4" width="21" style="2" bestFit="1" customWidth="1"/>
    <col min="5" max="5" width="39.33203125" style="2" customWidth="1"/>
    <col min="6" max="6" width="10.83203125" style="2"/>
    <col min="7" max="7" width="21" style="2" bestFit="1" customWidth="1"/>
    <col min="8" max="16384" width="10.83203125" style="2"/>
  </cols>
  <sheetData>
    <row r="1" spans="1:5">
      <c r="A1" s="2" t="s">
        <v>0</v>
      </c>
      <c r="B1" s="2" t="s">
        <v>1</v>
      </c>
      <c r="C1" s="2" t="s">
        <v>2</v>
      </c>
      <c r="D1" s="2" t="s">
        <v>24</v>
      </c>
    </row>
    <row r="2" spans="1:5">
      <c r="A2" s="2" t="s">
        <v>3</v>
      </c>
      <c r="B2" s="2" t="s">
        <v>4</v>
      </c>
      <c r="C2" s="2" t="s">
        <v>2</v>
      </c>
      <c r="D2" s="2" t="s">
        <v>25</v>
      </c>
    </row>
    <row r="3" spans="1:5">
      <c r="A3" s="2" t="s">
        <v>5</v>
      </c>
      <c r="B3" s="2" t="s">
        <v>2</v>
      </c>
      <c r="C3" s="2" t="s">
        <v>6</v>
      </c>
    </row>
    <row r="4" spans="1:5">
      <c r="A4" s="2" t="s">
        <v>7</v>
      </c>
    </row>
    <row r="5" spans="1:5">
      <c r="B5" s="2" t="s">
        <v>8</v>
      </c>
      <c r="C5" s="2" t="s">
        <v>9</v>
      </c>
    </row>
    <row r="6" spans="1:5">
      <c r="B6" s="2" t="s">
        <v>10</v>
      </c>
      <c r="C6" s="2" t="s">
        <v>11</v>
      </c>
      <c r="E6" s="2" t="s">
        <v>66</v>
      </c>
    </row>
    <row r="7" spans="1:5">
      <c r="B7" s="2" t="s">
        <v>12</v>
      </c>
      <c r="C7" s="2" t="s">
        <v>13</v>
      </c>
    </row>
    <row r="8" spans="1:5">
      <c r="B8" s="2" t="s">
        <v>14</v>
      </c>
      <c r="C8" s="2" t="s">
        <v>65</v>
      </c>
    </row>
    <row r="9" spans="1:5">
      <c r="B9" s="2" t="s">
        <v>15</v>
      </c>
      <c r="C9" s="2" t="s">
        <v>16</v>
      </c>
    </row>
    <row r="10" spans="1:5">
      <c r="B10" s="2" t="s">
        <v>17</v>
      </c>
      <c r="C10" s="2" t="s">
        <v>18</v>
      </c>
    </row>
    <row r="11" spans="1:5">
      <c r="A11" s="2" t="s">
        <v>19</v>
      </c>
    </row>
    <row r="12" spans="1:5">
      <c r="A12" s="2" t="s">
        <v>20</v>
      </c>
      <c r="B12" s="2">
        <v>3348000</v>
      </c>
      <c r="C12" s="2" t="s">
        <v>21</v>
      </c>
      <c r="D12" s="2" t="s">
        <v>22</v>
      </c>
      <c r="E12" s="2">
        <v>3430525</v>
      </c>
    </row>
    <row r="13" spans="1:5">
      <c r="A13" s="2">
        <v>15.918279</v>
      </c>
      <c r="B13" s="2">
        <v>2.61822791108971</v>
      </c>
      <c r="C13" s="2">
        <v>-92.591282863343295</v>
      </c>
      <c r="D13" s="2">
        <f>-1/C13/2/PI()/A13</f>
        <v>1.0798263426158556E-4</v>
      </c>
      <c r="E13" s="2" t="str">
        <f>COMPLEX(B13,C13)</f>
        <v>2.61822791108971-92.5912828633433i</v>
      </c>
    </row>
    <row r="14" spans="1:5">
      <c r="A14" s="2">
        <v>15.918279</v>
      </c>
      <c r="B14" s="2">
        <v>2.59279111082712</v>
      </c>
      <c r="C14" s="2">
        <v>-92.595946469530105</v>
      </c>
      <c r="D14" s="2">
        <f t="shared" ref="D14:D32" si="0">-1/C14/2/PI()/A14</f>
        <v>1.0797719570298326E-4</v>
      </c>
      <c r="E14" s="2" t="str">
        <f t="shared" ref="E14:E32" si="1">COMPLEX(B14,C14)</f>
        <v>2.59279111082712-92.5959464695301i</v>
      </c>
    </row>
    <row r="15" spans="1:5">
      <c r="A15" s="2">
        <v>15.918279</v>
      </c>
      <c r="B15" s="2">
        <v>2.5564412617633998</v>
      </c>
      <c r="C15" s="2">
        <v>-92.621713335210501</v>
      </c>
      <c r="D15" s="2">
        <f t="shared" si="0"/>
        <v>1.0794715702416769E-4</v>
      </c>
      <c r="E15" s="2" t="str">
        <f t="shared" si="1"/>
        <v>2.5564412617634-92.6217133352105i</v>
      </c>
    </row>
    <row r="16" spans="1:5">
      <c r="A16" s="2">
        <v>15.918279</v>
      </c>
      <c r="B16" s="2">
        <v>2.5422044015954399</v>
      </c>
      <c r="C16" s="2">
        <v>-92.645801302623099</v>
      </c>
      <c r="D16" s="2">
        <f t="shared" si="0"/>
        <v>1.0791909069451086E-4</v>
      </c>
      <c r="E16" s="2" t="str">
        <f t="shared" si="1"/>
        <v>2.54220440159544-92.6458013026231i</v>
      </c>
    </row>
    <row r="17" spans="1:5">
      <c r="A17" s="2">
        <v>15.918279</v>
      </c>
      <c r="B17" s="2">
        <v>2.5214897431109899</v>
      </c>
      <c r="C17" s="2">
        <v>-92.659714644239799</v>
      </c>
      <c r="D17" s="2">
        <f t="shared" si="0"/>
        <v>1.0790288607763326E-4</v>
      </c>
      <c r="E17" s="2" t="str">
        <f t="shared" si="1"/>
        <v>2.52148974311099-92.6597146442398i</v>
      </c>
    </row>
    <row r="18" spans="1:5">
      <c r="A18" s="2">
        <v>159.18338600000001</v>
      </c>
      <c r="B18" s="2">
        <v>0.11324431742312201</v>
      </c>
      <c r="C18" s="2">
        <v>-9.4657470196637892</v>
      </c>
      <c r="D18" s="2">
        <f t="shared" si="0"/>
        <v>1.0562518919985991E-4</v>
      </c>
      <c r="E18" s="2" t="str">
        <f t="shared" si="1"/>
        <v>0.113244317423122-9.46574701966379i</v>
      </c>
    </row>
    <row r="19" spans="1:5">
      <c r="A19" s="2">
        <v>159.18338600000001</v>
      </c>
      <c r="B19" s="2">
        <v>0.11275885742403</v>
      </c>
      <c r="C19" s="2">
        <v>-9.4658708901666309</v>
      </c>
      <c r="D19" s="2">
        <f t="shared" si="0"/>
        <v>1.0562380698733549E-4</v>
      </c>
      <c r="E19" s="2" t="str">
        <f t="shared" si="1"/>
        <v>0.11275885742403-9.46587089016663i</v>
      </c>
    </row>
    <row r="20" spans="1:5">
      <c r="A20" s="2">
        <v>159.18338600000001</v>
      </c>
      <c r="B20" s="2">
        <v>0.112296921062643</v>
      </c>
      <c r="C20" s="2">
        <v>-9.4661420140004697</v>
      </c>
      <c r="D20" s="2">
        <f t="shared" si="0"/>
        <v>1.056207817705732E-4</v>
      </c>
      <c r="E20" s="2" t="str">
        <f t="shared" si="1"/>
        <v>0.112296921062643-9.46614201400047i</v>
      </c>
    </row>
    <row r="21" spans="1:5">
      <c r="A21" s="2">
        <v>159.18338600000001</v>
      </c>
      <c r="B21" s="2">
        <v>0.111939988458018</v>
      </c>
      <c r="C21" s="2">
        <v>-9.4663074745064204</v>
      </c>
      <c r="D21" s="2">
        <f t="shared" si="0"/>
        <v>1.0561893563700551E-4</v>
      </c>
      <c r="E21" s="2" t="str">
        <f t="shared" si="1"/>
        <v>0.111939988458018-9.46630747450642i</v>
      </c>
    </row>
    <row r="22" spans="1:5">
      <c r="A22" s="2">
        <v>159.18338600000001</v>
      </c>
      <c r="B22" s="2">
        <v>0.111591074344038</v>
      </c>
      <c r="C22" s="2">
        <v>-9.4664848900032208</v>
      </c>
      <c r="D22" s="2">
        <f t="shared" si="0"/>
        <v>1.0561695618674964E-4</v>
      </c>
      <c r="E22" s="2" t="str">
        <f t="shared" si="1"/>
        <v>0.111591074344038-9.46648489000322i</v>
      </c>
    </row>
    <row r="23" spans="1:5">
      <c r="A23" s="2">
        <v>1591.630257</v>
      </c>
      <c r="B23" s="2">
        <v>3.07507007958128E-2</v>
      </c>
      <c r="C23" s="2">
        <v>-0.95107623343135195</v>
      </c>
      <c r="D23" s="2">
        <f t="shared" si="0"/>
        <v>1.051387031770073E-4</v>
      </c>
      <c r="E23" s="2" t="str">
        <f t="shared" si="1"/>
        <v>0.0307507007958128-0.951076233431352i</v>
      </c>
    </row>
    <row r="24" spans="1:5">
      <c r="A24" s="2">
        <v>1591.630257</v>
      </c>
      <c r="B24" s="2">
        <v>3.07408970129254E-2</v>
      </c>
      <c r="C24" s="2">
        <v>-0.95107782240090599</v>
      </c>
      <c r="D24" s="2">
        <f t="shared" si="0"/>
        <v>1.0513852752135182E-4</v>
      </c>
      <c r="E24" s="2" t="str">
        <f t="shared" si="1"/>
        <v>0.0307408970129254-0.951077822400906i</v>
      </c>
    </row>
    <row r="25" spans="1:5">
      <c r="A25" s="2">
        <v>1591.630257</v>
      </c>
      <c r="B25" s="2">
        <v>3.0732880050696E-2</v>
      </c>
      <c r="C25" s="2">
        <v>-0.95107693938244997</v>
      </c>
      <c r="D25" s="2">
        <f t="shared" si="0"/>
        <v>1.0513862513623069E-4</v>
      </c>
      <c r="E25" s="2" t="str">
        <f t="shared" si="1"/>
        <v>0.030732880050696-0.95107693938245i</v>
      </c>
    </row>
    <row r="26" spans="1:5">
      <c r="A26" s="2">
        <v>1591.630257</v>
      </c>
      <c r="B26" s="2">
        <v>3.0737603381088101E-2</v>
      </c>
      <c r="C26" s="2">
        <v>-0.95108001183139401</v>
      </c>
      <c r="D26" s="2">
        <f t="shared" si="0"/>
        <v>1.0513828548756417E-4</v>
      </c>
      <c r="E26" s="2" t="str">
        <f t="shared" si="1"/>
        <v>0.0307376033810881-0.951080011831394i</v>
      </c>
    </row>
    <row r="27" spans="1:5">
      <c r="A27" s="2">
        <v>1591.630257</v>
      </c>
      <c r="B27" s="2">
        <v>3.07282160510833E-2</v>
      </c>
      <c r="C27" s="2">
        <v>-0.95107059576855402</v>
      </c>
      <c r="D27" s="2">
        <f t="shared" si="0"/>
        <v>1.0513932640787801E-4</v>
      </c>
      <c r="E27" s="2" t="str">
        <f t="shared" si="1"/>
        <v>0.0307282160510833-0.951070595768554i</v>
      </c>
    </row>
    <row r="28" spans="1:5">
      <c r="A28" s="2">
        <v>15918.331518999999</v>
      </c>
      <c r="B28" s="2">
        <v>2.8725288179167401E-2</v>
      </c>
      <c r="C28" s="2">
        <v>-9.5256138108030297E-2</v>
      </c>
      <c r="D28" s="2">
        <f t="shared" si="0"/>
        <v>1.0496140033408309E-4</v>
      </c>
      <c r="E28" s="2" t="str">
        <f t="shared" si="1"/>
        <v>0.0287252881791674-0.0952561381080303i</v>
      </c>
    </row>
    <row r="29" spans="1:5">
      <c r="A29" s="2">
        <v>15918.331518999999</v>
      </c>
      <c r="B29" s="2">
        <v>2.8726486528803202E-2</v>
      </c>
      <c r="C29" s="2">
        <v>-9.5251832038575804E-2</v>
      </c>
      <c r="D29" s="2">
        <f t="shared" si="0"/>
        <v>1.0496614534601835E-4</v>
      </c>
      <c r="E29" s="2" t="str">
        <f t="shared" si="1"/>
        <v>0.0287264865288032-0.0952518320385758i</v>
      </c>
    </row>
    <row r="30" spans="1:5">
      <c r="A30" s="2">
        <v>15918.331518999999</v>
      </c>
      <c r="B30" s="2">
        <v>2.8721166983500801E-2</v>
      </c>
      <c r="C30" s="2">
        <v>-9.5254208511456703E-2</v>
      </c>
      <c r="D30" s="2">
        <f t="shared" si="0"/>
        <v>1.0496352657250982E-4</v>
      </c>
      <c r="E30" s="2" t="str">
        <f t="shared" si="1"/>
        <v>0.0287211669835008-0.0952542085114567i</v>
      </c>
    </row>
    <row r="31" spans="1:5">
      <c r="A31" s="2">
        <v>15918.331518999999</v>
      </c>
      <c r="B31" s="2">
        <v>2.8734428571846798E-2</v>
      </c>
      <c r="C31" s="2">
        <v>-9.5247329783961707E-2</v>
      </c>
      <c r="D31" s="2">
        <f t="shared" si="0"/>
        <v>1.04971107000201E-4</v>
      </c>
      <c r="E31" s="2" t="str">
        <f t="shared" si="1"/>
        <v>0.0287344285718468-0.0952473297839617i</v>
      </c>
    </row>
    <row r="32" spans="1:5">
      <c r="A32" s="2">
        <v>15918.331518999999</v>
      </c>
      <c r="B32" s="2">
        <v>2.87298767111418E-2</v>
      </c>
      <c r="C32" s="2">
        <v>-9.5250870320075995E-2</v>
      </c>
      <c r="D32" s="2">
        <f t="shared" si="0"/>
        <v>1.0496720515663734E-4</v>
      </c>
      <c r="E32" s="2" t="str">
        <f t="shared" si="1"/>
        <v>0.0287298767111418-0.095250870320076i</v>
      </c>
    </row>
    <row r="33" spans="1:4">
      <c r="A33" s="2" t="s">
        <v>23</v>
      </c>
      <c r="B33" s="2" t="s">
        <v>1</v>
      </c>
      <c r="C33" s="2" t="s">
        <v>2</v>
      </c>
      <c r="D33" s="2" t="s">
        <v>26</v>
      </c>
    </row>
    <row r="38" spans="1:4">
      <c r="A38" s="2" t="s">
        <v>0</v>
      </c>
      <c r="B38" s="2" t="s">
        <v>1</v>
      </c>
      <c r="C38" s="2" t="s">
        <v>2</v>
      </c>
      <c r="D38" s="2" t="s">
        <v>24</v>
      </c>
    </row>
    <row r="39" spans="1:4">
      <c r="A39" s="2" t="s">
        <v>3</v>
      </c>
      <c r="B39" s="2" t="s">
        <v>4</v>
      </c>
      <c r="C39" s="2" t="s">
        <v>2</v>
      </c>
      <c r="D39" s="2" t="s">
        <v>25</v>
      </c>
    </row>
    <row r="40" spans="1:4">
      <c r="A40" s="2" t="s">
        <v>5</v>
      </c>
      <c r="B40" s="2" t="s">
        <v>2</v>
      </c>
      <c r="C40" s="2" t="s">
        <v>6</v>
      </c>
    </row>
    <row r="41" spans="1:4">
      <c r="A41" s="2" t="s">
        <v>7</v>
      </c>
    </row>
    <row r="42" spans="1:4">
      <c r="B42" s="2" t="s">
        <v>8</v>
      </c>
      <c r="C42" s="2" t="s">
        <v>9</v>
      </c>
    </row>
    <row r="43" spans="1:4">
      <c r="B43" s="2" t="s">
        <v>10</v>
      </c>
      <c r="C43" s="2" t="s">
        <v>11</v>
      </c>
    </row>
    <row r="44" spans="1:4">
      <c r="B44" s="2" t="s">
        <v>12</v>
      </c>
      <c r="C44" s="2" t="s">
        <v>13</v>
      </c>
    </row>
    <row r="45" spans="1:4">
      <c r="B45" s="2" t="s">
        <v>14</v>
      </c>
      <c r="C45" s="2" t="s">
        <v>43</v>
      </c>
    </row>
    <row r="46" spans="1:4">
      <c r="B46" s="2" t="s">
        <v>15</v>
      </c>
      <c r="C46" s="2" t="s">
        <v>16</v>
      </c>
    </row>
    <row r="47" spans="1:4">
      <c r="B47" s="2" t="s">
        <v>17</v>
      </c>
      <c r="C47" s="2" t="s">
        <v>18</v>
      </c>
    </row>
    <row r="48" spans="1:4">
      <c r="A48" s="2" t="s">
        <v>19</v>
      </c>
    </row>
    <row r="49" spans="1:7">
      <c r="A49" s="2" t="s">
        <v>20</v>
      </c>
      <c r="B49" s="2">
        <v>3348000</v>
      </c>
      <c r="C49" s="2" t="s">
        <v>21</v>
      </c>
      <c r="D49" s="2" t="s">
        <v>22</v>
      </c>
      <c r="E49" s="2">
        <v>3407872</v>
      </c>
    </row>
    <row r="50" spans="1:7">
      <c r="A50" s="2">
        <v>15.918279</v>
      </c>
      <c r="B50" s="2">
        <v>2.7279567572530399E-4</v>
      </c>
      <c r="C50" s="2">
        <v>1.0641383807202E-2</v>
      </c>
      <c r="D50" s="2">
        <f>C50/2/PI()/A50</f>
        <v>1.0639522238894362E-4</v>
      </c>
      <c r="E50" s="2" t="str">
        <f>COMPLEX(B50,C50)</f>
        <v>0.000272795675725304+0.010641383807202i</v>
      </c>
      <c r="F50" s="2" t="str">
        <f>IMPRODUCT(E13,E50)</f>
        <v>0.98601361940225+0.00260306652165587i</v>
      </c>
      <c r="G50" s="2">
        <f>IMABS(F50)</f>
        <v>0.98601705543161955</v>
      </c>
    </row>
    <row r="51" spans="1:7">
      <c r="A51" s="2">
        <v>15.918279</v>
      </c>
      <c r="B51" s="2">
        <v>2.7426572547035397E-4</v>
      </c>
      <c r="C51" s="2">
        <v>1.06398048390586E-2</v>
      </c>
      <c r="D51" s="2">
        <f t="shared" ref="D51:D69" si="2">C51/2/PI()/A51</f>
        <v>1.0637943546970398E-4</v>
      </c>
      <c r="E51" s="2" t="str">
        <f t="shared" ref="E51:E69" si="3">COMPLEX(B51,C51)</f>
        <v>0.000274265725470354+0.0106398048390586i</v>
      </c>
      <c r="F51" s="2" t="str">
        <f t="shared" ref="F51:F69" si="4">IMPRODUCT(E14,E51)</f>
        <v>0.985913913058722+0.00219089697356678i</v>
      </c>
      <c r="G51" s="2">
        <f t="shared" ref="G51:G69" si="5">IMABS(F51)</f>
        <v>0.98591634736031752</v>
      </c>
    </row>
    <row r="52" spans="1:7">
      <c r="A52" s="2">
        <v>15.918279</v>
      </c>
      <c r="B52" s="2">
        <v>2.7402060332697902E-4</v>
      </c>
      <c r="C52" s="2">
        <v>1.0641107398624301E-2</v>
      </c>
      <c r="D52" s="2">
        <f t="shared" si="2"/>
        <v>1.0639245878670659E-4</v>
      </c>
      <c r="E52" s="2" t="str">
        <f t="shared" si="3"/>
        <v>0.000274020603326979+0.0106411073986243i</v>
      </c>
      <c r="F52" s="2" t="str">
        <f t="shared" si="4"/>
        <v>0.986298116621486+0.00182310825540608i</v>
      </c>
      <c r="G52" s="2">
        <f t="shared" si="5"/>
        <v>0.98629980156887465</v>
      </c>
    </row>
    <row r="53" spans="1:7">
      <c r="A53" s="2">
        <v>15.918279</v>
      </c>
      <c r="B53" s="2">
        <v>2.7363015959981998E-4</v>
      </c>
      <c r="C53" s="2">
        <v>1.06402568829403E-2</v>
      </c>
      <c r="D53" s="2">
        <f t="shared" si="2"/>
        <v>1.0638395511773044E-4</v>
      </c>
      <c r="E53" s="2" t="str">
        <f t="shared" si="3"/>
        <v>0.00027363015959982+0.0106402568829403i</v>
      </c>
      <c r="F53" s="2" t="str">
        <f t="shared" si="4"/>
        <v>0.986470748781899+0.00169902248522704i</v>
      </c>
      <c r="G53" s="2">
        <f t="shared" si="5"/>
        <v>0.98647221191462131</v>
      </c>
    </row>
    <row r="54" spans="1:7">
      <c r="A54" s="2">
        <v>15.918279</v>
      </c>
      <c r="B54" s="2">
        <v>2.7238946503766798E-4</v>
      </c>
      <c r="C54" s="2">
        <v>1.06415919074085E-2</v>
      </c>
      <c r="D54" s="2">
        <f t="shared" si="2"/>
        <v>1.0639730302696502E-4</v>
      </c>
      <c r="E54" s="2" t="str">
        <f t="shared" si="3"/>
        <v>0.000272389465037668+0.0106415919074085i</v>
      </c>
      <c r="F54" s="2" t="str">
        <f t="shared" si="4"/>
        <v>0.986733696743147+0.001593134742416i</v>
      </c>
      <c r="G54" s="2">
        <f t="shared" si="5"/>
        <v>0.98673498284326799</v>
      </c>
    </row>
    <row r="55" spans="1:7">
      <c r="A55" s="2">
        <v>159.18338600000001</v>
      </c>
      <c r="B55" s="2">
        <v>1.20532537816751E-3</v>
      </c>
      <c r="C55" s="2">
        <v>0.104374675845142</v>
      </c>
      <c r="D55" s="2">
        <f t="shared" si="2"/>
        <v>1.0435602616449305E-4</v>
      </c>
      <c r="E55" s="2" t="str">
        <f t="shared" si="3"/>
        <v>0.00120532537816751+0.104374675845142i</v>
      </c>
      <c r="F55" s="2" t="str">
        <f t="shared" si="4"/>
        <v>0.98812077305925+0.000410533816228489i</v>
      </c>
      <c r="G55" s="2">
        <f t="shared" si="5"/>
        <v>0.98812085834133878</v>
      </c>
    </row>
    <row r="56" spans="1:7">
      <c r="A56" s="2">
        <v>159.18338600000001</v>
      </c>
      <c r="B56" s="2">
        <v>1.2068103467738399E-3</v>
      </c>
      <c r="C56" s="2">
        <v>0.10437394336778601</v>
      </c>
      <c r="D56" s="2">
        <f t="shared" si="2"/>
        <v>1.0435529381801621E-4</v>
      </c>
      <c r="E56" s="2" t="str">
        <f t="shared" si="3"/>
        <v>0.00120681034677384+0.104373943367786i</v>
      </c>
      <c r="F56" s="2" t="str">
        <f t="shared" si="4"/>
        <v>0.988126350772856+0.000345575667513575i</v>
      </c>
      <c r="G56" s="2">
        <f t="shared" si="5"/>
        <v>0.98812641120163547</v>
      </c>
    </row>
    <row r="57" spans="1:7">
      <c r="A57" s="2">
        <v>159.18338600000001</v>
      </c>
      <c r="B57" s="2">
        <v>1.20625711082494E-3</v>
      </c>
      <c r="C57" s="2">
        <v>0.104375928484004</v>
      </c>
      <c r="D57" s="2">
        <f t="shared" si="2"/>
        <v>1.0435727857953337E-4</v>
      </c>
      <c r="E57" s="2" t="str">
        <f t="shared" si="3"/>
        <v>0.00120625711082494+0.104375928484004i</v>
      </c>
      <c r="F57" s="2" t="str">
        <f t="shared" si="4"/>
        <v>0.988172820832294+0.000302494285341482i</v>
      </c>
      <c r="G57" s="2">
        <f t="shared" si="5"/>
        <v>0.9881728671312755</v>
      </c>
    </row>
    <row r="58" spans="1:7">
      <c r="A58" s="2">
        <v>159.18338600000001</v>
      </c>
      <c r="B58" s="2">
        <v>1.20690163075035E-3</v>
      </c>
      <c r="C58" s="2">
        <v>0.10437389725935201</v>
      </c>
      <c r="D58" s="2">
        <f t="shared" si="2"/>
        <v>1.0435524771782086E-4</v>
      </c>
      <c r="E58" s="2" t="str">
        <f t="shared" si="3"/>
        <v>0.00120690163075035+0.104373897259352i</v>
      </c>
      <c r="F58" s="2" t="str">
        <f t="shared" si="4"/>
        <v>0.988170504324185+0.000258710926364194i</v>
      </c>
      <c r="G58" s="2">
        <f t="shared" si="5"/>
        <v>0.98817053819047718</v>
      </c>
    </row>
    <row r="59" spans="1:7">
      <c r="A59" s="2">
        <v>159.18338600000001</v>
      </c>
      <c r="B59" s="2">
        <v>1.2081164291000901E-3</v>
      </c>
      <c r="C59" s="2">
        <v>0.104371590125946</v>
      </c>
      <c r="D59" s="2">
        <f t="shared" si="2"/>
        <v>1.0435294099665377E-4</v>
      </c>
      <c r="E59" s="2" t="str">
        <f t="shared" si="3"/>
        <v>0.00120811642910009+0.104371590125946i</v>
      </c>
      <c r="F59" s="2" t="str">
        <f t="shared" si="4"/>
        <v>0.988166895883133+0.000210321951709252i</v>
      </c>
      <c r="G59" s="2">
        <f t="shared" si="5"/>
        <v>0.98816691826564906</v>
      </c>
    </row>
    <row r="60" spans="1:7">
      <c r="A60" s="2">
        <v>1591.630257</v>
      </c>
      <c r="B60" s="2">
        <v>3.5020878568604703E-2</v>
      </c>
      <c r="C60" s="2">
        <v>1.03813908911001</v>
      </c>
      <c r="D60" s="2">
        <f t="shared" si="2"/>
        <v>1.0380863703873136E-4</v>
      </c>
      <c r="E60" s="2" t="str">
        <f t="shared" si="3"/>
        <v>0.0350208785686047+1.03813908911001i</v>
      </c>
      <c r="F60" s="2" t="str">
        <f t="shared" si="4"/>
        <v>0.988426331207073-0.00138402076682576i</v>
      </c>
      <c r="G60" s="2">
        <f t="shared" si="5"/>
        <v>0.98842730017789227</v>
      </c>
    </row>
    <row r="61" spans="1:7">
      <c r="A61" s="2">
        <v>1591.630257</v>
      </c>
      <c r="B61" s="2">
        <v>3.5033523521109999E-2</v>
      </c>
      <c r="C61" s="2">
        <v>1.03812987433369</v>
      </c>
      <c r="D61" s="2">
        <f t="shared" si="2"/>
        <v>1.0380771560789377E-4</v>
      </c>
      <c r="E61" s="2" t="str">
        <f t="shared" si="3"/>
        <v>0.03503352352111+1.03812987433369i</v>
      </c>
      <c r="F61" s="2" t="str">
        <f t="shared" si="4"/>
        <v>0.988419262189174-0.00140656370855507i</v>
      </c>
      <c r="G61" s="2">
        <f t="shared" si="5"/>
        <v>0.98842026298941132</v>
      </c>
    </row>
    <row r="62" spans="1:7">
      <c r="A62" s="2">
        <v>1591.630257</v>
      </c>
      <c r="B62" s="2">
        <v>3.5021467037747403E-2</v>
      </c>
      <c r="C62" s="2">
        <v>1.0381727368968301</v>
      </c>
      <c r="D62" s="2">
        <f t="shared" si="2"/>
        <v>1.0381200164654336E-4</v>
      </c>
      <c r="E62" s="2" t="str">
        <f t="shared" si="3"/>
        <v>0.0350214670377474+1.03817273689683i</v>
      </c>
      <c r="F62" s="2" t="str">
        <f t="shared" si="4"/>
        <v>0.988458459703809-0.0014020714879911i</v>
      </c>
      <c r="G62" s="2">
        <f t="shared" si="5"/>
        <v>0.98845945408220159</v>
      </c>
    </row>
    <row r="63" spans="1:7">
      <c r="A63" s="2">
        <v>1591.630257</v>
      </c>
      <c r="B63" s="2">
        <v>3.5015630807679499E-2</v>
      </c>
      <c r="C63" s="2">
        <v>1.0381679421693599</v>
      </c>
      <c r="D63" s="2">
        <f t="shared" si="2"/>
        <v>1.0381152219814489E-4</v>
      </c>
      <c r="E63" s="2" t="str">
        <f t="shared" si="3"/>
        <v>0.0350156308076795+1.03816794216936i</v>
      </c>
      <c r="F63" s="2" t="str">
        <f t="shared" si="4"/>
        <v>0.988457075293314-0.00139187211348935i</v>
      </c>
      <c r="G63" s="2">
        <f t="shared" si="5"/>
        <v>0.98845805525848818</v>
      </c>
    </row>
    <row r="64" spans="1:7">
      <c r="A64" s="2">
        <v>1591.630257</v>
      </c>
      <c r="B64" s="2">
        <v>3.5010342274987401E-2</v>
      </c>
      <c r="C64" s="2">
        <v>1.0381872391117</v>
      </c>
      <c r="D64" s="2">
        <f t="shared" si="2"/>
        <v>1.0381345179438527E-4</v>
      </c>
      <c r="E64" s="2" t="str">
        <f t="shared" si="3"/>
        <v>0.0350103422749874+1.0381872391117i</v>
      </c>
      <c r="F64" s="2" t="str">
        <f t="shared" si="4"/>
        <v>0.988465161382723-0.00139566530063127i</v>
      </c>
      <c r="G64" s="2">
        <f t="shared" si="5"/>
        <v>0.98846614668839528</v>
      </c>
    </row>
    <row r="65" spans="1:7">
      <c r="A65" s="2">
        <v>15918.331518999999</v>
      </c>
      <c r="B65" s="2">
        <v>2.9884858712413398</v>
      </c>
      <c r="C65" s="2">
        <v>9.4312067636937602</v>
      </c>
      <c r="D65" s="2">
        <f t="shared" si="2"/>
        <v>9.4295257890060209E-5</v>
      </c>
      <c r="E65" s="2" t="str">
        <f t="shared" si="3"/>
        <v>2.98848587124134+9.43120676369376i</v>
      </c>
      <c r="F65" s="2" t="str">
        <f t="shared" si="4"/>
        <v>0.98422545187858-0.0137574907204463i</v>
      </c>
      <c r="G65" s="2">
        <f t="shared" si="5"/>
        <v>0.98432159819670628</v>
      </c>
    </row>
    <row r="66" spans="1:7">
      <c r="A66" s="2">
        <v>15918.331518999999</v>
      </c>
      <c r="B66" s="2">
        <v>2.9875037910104099</v>
      </c>
      <c r="C66" s="2">
        <v>9.4318910125432094</v>
      </c>
      <c r="D66" s="2">
        <f t="shared" si="2"/>
        <v>9.430209915898119E-5</v>
      </c>
      <c r="E66" s="2" t="str">
        <f t="shared" si="3"/>
        <v>2.98750379101041+9.43189101254321i</v>
      </c>
      <c r="F66" s="2" t="str">
        <f t="shared" si="4"/>
        <v>0.984225385940128-0.0136201192029696i</v>
      </c>
      <c r="G66" s="2">
        <f t="shared" si="5"/>
        <v>0.98431962185872168</v>
      </c>
    </row>
    <row r="67" spans="1:7">
      <c r="A67" s="2">
        <v>15918.331518999999</v>
      </c>
      <c r="B67" s="2">
        <v>2.9871949114654202</v>
      </c>
      <c r="C67" s="2">
        <v>9.4317403463837906</v>
      </c>
      <c r="D67" s="2">
        <f t="shared" si="2"/>
        <v>9.4300592765927396E-5</v>
      </c>
      <c r="E67" s="2" t="str">
        <f t="shared" si="3"/>
        <v>2.98719491146542+9.43174034638379i</v>
      </c>
      <c r="F67" s="2" t="str">
        <f t="shared" si="4"/>
        <v>0.984208685444823-0.0136522975275791i</v>
      </c>
      <c r="G67" s="2">
        <f t="shared" si="5"/>
        <v>0.98430336875010638</v>
      </c>
    </row>
    <row r="68" spans="1:7">
      <c r="A68" s="2">
        <v>15918.331518999999</v>
      </c>
      <c r="B68" s="2">
        <v>2.98822536317192</v>
      </c>
      <c r="C68" s="2">
        <v>9.4316927398526804</v>
      </c>
      <c r="D68" s="2">
        <f t="shared" si="2"/>
        <v>9.4300116785467976E-5</v>
      </c>
      <c r="E68" s="2" t="str">
        <f t="shared" si="3"/>
        <v>2.98822536317192+9.43169273985268i</v>
      </c>
      <c r="F68" s="2" t="str">
        <f t="shared" si="4"/>
        <v>0.98420849706839-0.0136061852899317i</v>
      </c>
      <c r="G68" s="2">
        <f t="shared" si="5"/>
        <v>0.98430254189439281</v>
      </c>
    </row>
    <row r="69" spans="1:7">
      <c r="A69" s="2">
        <v>15918.331518999999</v>
      </c>
      <c r="B69" s="2">
        <v>2.98858388128596</v>
      </c>
      <c r="C69" s="2">
        <v>9.4313902760779804</v>
      </c>
      <c r="D69" s="2">
        <f t="shared" si="2"/>
        <v>9.4297092686818421E-5</v>
      </c>
      <c r="E69" s="2" t="str">
        <f t="shared" si="3"/>
        <v>2.98858388128596+9.43139027607798i</v>
      </c>
      <c r="F69" s="2" t="str">
        <f t="shared" si="4"/>
        <v>0.984209778574981-0.0137025358706563i</v>
      </c>
      <c r="G69" s="2">
        <f t="shared" si="5"/>
        <v>0.9843051598624788</v>
      </c>
    </row>
    <row r="70" spans="1:7">
      <c r="A70" s="2" t="s">
        <v>23</v>
      </c>
      <c r="B70" s="2" t="s">
        <v>1</v>
      </c>
      <c r="C70" s="2" t="s">
        <v>2</v>
      </c>
      <c r="D70" s="2" t="s">
        <v>26</v>
      </c>
    </row>
    <row r="74" spans="1:7">
      <c r="A74" s="2" t="s">
        <v>0</v>
      </c>
      <c r="B74" s="2" t="s">
        <v>1</v>
      </c>
      <c r="C74" s="2" t="s">
        <v>2</v>
      </c>
      <c r="D74" s="2" t="s">
        <v>24</v>
      </c>
    </row>
    <row r="75" spans="1:7">
      <c r="A75" s="2" t="s">
        <v>3</v>
      </c>
      <c r="B75" s="2" t="s">
        <v>4</v>
      </c>
      <c r="C75" s="2" t="s">
        <v>2</v>
      </c>
      <c r="D75" s="2" t="s">
        <v>25</v>
      </c>
    </row>
    <row r="76" spans="1:7">
      <c r="A76" s="2" t="s">
        <v>5</v>
      </c>
      <c r="B76" s="2" t="s">
        <v>2</v>
      </c>
      <c r="C76" s="2" t="s">
        <v>6</v>
      </c>
    </row>
    <row r="77" spans="1:7">
      <c r="A77" s="2" t="s">
        <v>7</v>
      </c>
    </row>
    <row r="78" spans="1:7">
      <c r="B78" s="2" t="s">
        <v>8</v>
      </c>
      <c r="C78" s="2" t="s">
        <v>9</v>
      </c>
    </row>
    <row r="79" spans="1:7">
      <c r="B79" s="2" t="s">
        <v>10</v>
      </c>
      <c r="C79" s="2" t="s">
        <v>11</v>
      </c>
    </row>
    <row r="80" spans="1:7">
      <c r="B80" s="2" t="s">
        <v>12</v>
      </c>
      <c r="C80" s="2" t="s">
        <v>13</v>
      </c>
    </row>
    <row r="81" spans="1:5">
      <c r="B81" s="2" t="s">
        <v>14</v>
      </c>
      <c r="C81" s="2" t="s">
        <v>67</v>
      </c>
    </row>
    <row r="82" spans="1:5">
      <c r="B82" s="2" t="s">
        <v>15</v>
      </c>
      <c r="C82" s="2" t="s">
        <v>16</v>
      </c>
    </row>
    <row r="83" spans="1:5">
      <c r="B83" s="2" t="s">
        <v>17</v>
      </c>
      <c r="C83" s="2" t="s">
        <v>18</v>
      </c>
    </row>
    <row r="84" spans="1:5">
      <c r="A84" s="2" t="s">
        <v>19</v>
      </c>
    </row>
    <row r="85" spans="1:5">
      <c r="A85" s="2" t="s">
        <v>20</v>
      </c>
      <c r="B85" s="2">
        <v>3348000</v>
      </c>
      <c r="C85" s="2" t="s">
        <v>21</v>
      </c>
      <c r="D85" s="2" t="s">
        <v>22</v>
      </c>
      <c r="E85" s="2">
        <v>3536330</v>
      </c>
    </row>
    <row r="86" spans="1:5">
      <c r="A86" s="2">
        <v>15.918279</v>
      </c>
      <c r="B86" s="2">
        <v>2.90409013968879E-4</v>
      </c>
      <c r="C86" s="2">
        <v>1.0637947590324401E-2</v>
      </c>
      <c r="D86" s="2">
        <f>C86/2/PI()/A86</f>
        <v>1.0636086623137118E-4</v>
      </c>
      <c r="E86" s="2" t="str">
        <f>COMPLEX(B86,C86)</f>
        <v>0.000290409013968879+0.0106379475903244i</v>
      </c>
    </row>
    <row r="87" spans="1:5">
      <c r="A87" s="2">
        <v>15.918279</v>
      </c>
      <c r="B87" s="2">
        <v>2.90243690840277E-4</v>
      </c>
      <c r="C87" s="2">
        <v>1.06375627921209E-2</v>
      </c>
      <c r="D87" s="2">
        <f t="shared" ref="D87:D105" si="6">C87/2/PI()/A87</f>
        <v>1.0635701892248937E-4</v>
      </c>
      <c r="E87" s="2" t="str">
        <f t="shared" ref="E87:E105" si="7">COMPLEX(B87,C87)</f>
        <v>0.000290243690840277+0.0106375627921209i</v>
      </c>
    </row>
    <row r="88" spans="1:5">
      <c r="A88" s="2">
        <v>15.918279</v>
      </c>
      <c r="B88" s="2">
        <v>2.8930229365041298E-4</v>
      </c>
      <c r="C88" s="2">
        <v>1.0636573900430799E-2</v>
      </c>
      <c r="D88" s="2">
        <f t="shared" si="6"/>
        <v>1.0634713173552261E-4</v>
      </c>
      <c r="E88" s="2" t="str">
        <f t="shared" si="7"/>
        <v>0.000289302293650413+0.0106365739004308i</v>
      </c>
    </row>
    <row r="89" spans="1:5">
      <c r="A89" s="2">
        <v>15.918279</v>
      </c>
      <c r="B89" s="2">
        <v>2.9227240314059301E-4</v>
      </c>
      <c r="C89" s="2">
        <v>1.06375902147252E-2</v>
      </c>
      <c r="D89" s="2">
        <f t="shared" si="6"/>
        <v>1.0635729310056018E-4</v>
      </c>
      <c r="E89" s="2" t="str">
        <f t="shared" si="7"/>
        <v>0.000292272403140593+0.0106375902147252i</v>
      </c>
    </row>
    <row r="90" spans="1:5">
      <c r="A90" s="2">
        <v>15.918279</v>
      </c>
      <c r="B90" s="2">
        <v>2.8985334430528E-4</v>
      </c>
      <c r="C90" s="2">
        <v>1.06372206725671E-2</v>
      </c>
      <c r="D90" s="2">
        <f t="shared" si="6"/>
        <v>1.0635359832544395E-4</v>
      </c>
      <c r="E90" s="2" t="str">
        <f t="shared" si="7"/>
        <v>0.00028985334430528+0.0106372206725671i</v>
      </c>
    </row>
    <row r="91" spans="1:5">
      <c r="A91" s="2">
        <v>159.18338600000001</v>
      </c>
      <c r="B91" s="2">
        <v>1.20096633411515E-3</v>
      </c>
      <c r="C91" s="2">
        <v>0.104344095888924</v>
      </c>
      <c r="D91" s="2">
        <f t="shared" si="6"/>
        <v>1.043254516723056E-4</v>
      </c>
      <c r="E91" s="2" t="str">
        <f t="shared" si="7"/>
        <v>0.00120096633411515+0.104344095888924i</v>
      </c>
    </row>
    <row r="92" spans="1:5">
      <c r="A92" s="2">
        <v>159.18338600000001</v>
      </c>
      <c r="B92" s="2">
        <v>1.20200736941724E-3</v>
      </c>
      <c r="C92" s="2">
        <v>0.104345835072921</v>
      </c>
      <c r="D92" s="2">
        <f t="shared" si="6"/>
        <v>1.0432719054554498E-4</v>
      </c>
      <c r="E92" s="2" t="str">
        <f t="shared" si="7"/>
        <v>0.00120200736941724+0.104345835072921i</v>
      </c>
    </row>
    <row r="93" spans="1:5">
      <c r="A93" s="2">
        <v>159.18338600000001</v>
      </c>
      <c r="B93" s="2">
        <v>1.20057587848201E-3</v>
      </c>
      <c r="C93" s="2">
        <v>0.104344935623156</v>
      </c>
      <c r="D93" s="2">
        <f t="shared" si="6"/>
        <v>1.0432629125649379E-4</v>
      </c>
      <c r="E93" s="2" t="str">
        <f t="shared" si="7"/>
        <v>0.00120057587848201+0.104344935623156i</v>
      </c>
    </row>
    <row r="94" spans="1:5">
      <c r="A94" s="2">
        <v>159.18338600000001</v>
      </c>
      <c r="B94" s="2">
        <v>1.20031097521606E-3</v>
      </c>
      <c r="C94" s="2">
        <v>0.10434394250248</v>
      </c>
      <c r="D94" s="2">
        <f t="shared" si="6"/>
        <v>1.0432529831326873E-4</v>
      </c>
      <c r="E94" s="2" t="str">
        <f t="shared" si="7"/>
        <v>0.00120031097521606+0.10434394250248i</v>
      </c>
    </row>
    <row r="95" spans="1:5">
      <c r="A95" s="2">
        <v>159.18338600000001</v>
      </c>
      <c r="B95" s="2">
        <v>1.20073715490379E-3</v>
      </c>
      <c r="C95" s="2">
        <v>0.104344627497082</v>
      </c>
      <c r="D95" s="2">
        <f t="shared" si="6"/>
        <v>1.0432598318547577E-4</v>
      </c>
      <c r="E95" s="2" t="str">
        <f t="shared" si="7"/>
        <v>0.00120073715490379+0.104344627497082i</v>
      </c>
    </row>
    <row r="96" spans="1:5">
      <c r="A96" s="2">
        <v>1591.630257</v>
      </c>
      <c r="B96" s="2">
        <v>3.4909345446537302E-2</v>
      </c>
      <c r="C96" s="2">
        <v>1.03787742369827</v>
      </c>
      <c r="D96" s="2">
        <f t="shared" si="6"/>
        <v>1.0378247182634522E-4</v>
      </c>
      <c r="E96" s="2" t="str">
        <f t="shared" si="7"/>
        <v>0.0349093454465373+1.03787742369827i</v>
      </c>
    </row>
    <row r="97" spans="1:5">
      <c r="A97" s="2">
        <v>1591.630257</v>
      </c>
      <c r="B97" s="2">
        <v>3.4913924798026401E-2</v>
      </c>
      <c r="C97" s="2">
        <v>1.03788696874423</v>
      </c>
      <c r="D97" s="2">
        <f t="shared" si="6"/>
        <v>1.0378342628246963E-4</v>
      </c>
      <c r="E97" s="2" t="str">
        <f t="shared" si="7"/>
        <v>0.0349139247980264+1.03788696874423i</v>
      </c>
    </row>
    <row r="98" spans="1:5">
      <c r="A98" s="2">
        <v>1591.630257</v>
      </c>
      <c r="B98" s="2">
        <v>3.49070723947967E-2</v>
      </c>
      <c r="C98" s="2">
        <v>1.0378782397109101</v>
      </c>
      <c r="D98" s="2">
        <f t="shared" si="6"/>
        <v>1.0378255342346536E-4</v>
      </c>
      <c r="E98" s="2" t="str">
        <f t="shared" si="7"/>
        <v>0.0349070723947967+1.03787823971091i</v>
      </c>
    </row>
    <row r="99" spans="1:5">
      <c r="A99" s="2">
        <v>1591.630257</v>
      </c>
      <c r="B99" s="2">
        <v>3.4920739866911299E-2</v>
      </c>
      <c r="C99" s="2">
        <v>1.03786598045156</v>
      </c>
      <c r="D99" s="2">
        <f t="shared" si="6"/>
        <v>1.0378132755978526E-4</v>
      </c>
      <c r="E99" s="2" t="str">
        <f t="shared" si="7"/>
        <v>0.0349207398669113+1.03786598045156i</v>
      </c>
    </row>
    <row r="100" spans="1:5">
      <c r="A100" s="2">
        <v>1591.630257</v>
      </c>
      <c r="B100" s="2">
        <v>3.49143595599328E-2</v>
      </c>
      <c r="C100" s="2">
        <v>1.03786099195546</v>
      </c>
      <c r="D100" s="2">
        <f t="shared" si="6"/>
        <v>1.037808287355078E-4</v>
      </c>
      <c r="E100" s="2" t="str">
        <f t="shared" si="7"/>
        <v>0.0349143595599328+1.03786099195546i</v>
      </c>
    </row>
    <row r="101" spans="1:5">
      <c r="A101" s="2">
        <v>15918.331518999999</v>
      </c>
      <c r="B101" s="2">
        <v>2.9831531532429798</v>
      </c>
      <c r="C101" s="2">
        <v>9.43423314741921</v>
      </c>
      <c r="D101" s="2">
        <f t="shared" si="6"/>
        <v>9.4325516333228291E-5</v>
      </c>
      <c r="E101" s="2" t="str">
        <f t="shared" si="7"/>
        <v>2.98315315324298+9.43423314741921i</v>
      </c>
    </row>
    <row r="102" spans="1:5">
      <c r="A102" s="2">
        <v>15918.331518999999</v>
      </c>
      <c r="B102" s="2">
        <v>2.9818105134294601</v>
      </c>
      <c r="C102" s="2">
        <v>9.43455863661225</v>
      </c>
      <c r="D102" s="2">
        <f t="shared" si="6"/>
        <v>9.4328770645021791E-5</v>
      </c>
      <c r="E102" s="2" t="str">
        <f t="shared" si="7"/>
        <v>2.98181051342946+9.43455863661225i</v>
      </c>
    </row>
    <row r="103" spans="1:5">
      <c r="A103" s="2">
        <v>15918.331518999999</v>
      </c>
      <c r="B103" s="2">
        <v>2.9832840307472099</v>
      </c>
      <c r="C103" s="2">
        <v>9.4338627158338397</v>
      </c>
      <c r="D103" s="2">
        <f t="shared" si="6"/>
        <v>9.4321812677614704E-5</v>
      </c>
      <c r="E103" s="2" t="str">
        <f t="shared" si="7"/>
        <v>2.98328403074721+9.43386271583384i</v>
      </c>
    </row>
    <row r="104" spans="1:5">
      <c r="A104" s="2">
        <v>15918.331518999999</v>
      </c>
      <c r="B104" s="2">
        <v>2.9824550759977102</v>
      </c>
      <c r="C104" s="2">
        <v>9.4342591426619506</v>
      </c>
      <c r="D104" s="2">
        <f t="shared" si="6"/>
        <v>9.4325776239322971E-5</v>
      </c>
      <c r="E104" s="2" t="str">
        <f t="shared" si="7"/>
        <v>2.98245507599771+9.43425914266195i</v>
      </c>
    </row>
    <row r="105" spans="1:5">
      <c r="A105" s="2">
        <v>15918.331518999999</v>
      </c>
      <c r="B105" s="2">
        <v>2.9817921860974601</v>
      </c>
      <c r="C105" s="2">
        <v>9.4346183489723003</v>
      </c>
      <c r="D105" s="2">
        <f t="shared" si="6"/>
        <v>9.4329367662193751E-5</v>
      </c>
      <c r="E105" s="2" t="str">
        <f t="shared" si="7"/>
        <v>2.98179218609746+9.4346183489723i</v>
      </c>
    </row>
    <row r="106" spans="1:5">
      <c r="A106" s="2" t="s">
        <v>23</v>
      </c>
      <c r="B106" s="2" t="s">
        <v>1</v>
      </c>
      <c r="C106" s="2" t="s">
        <v>2</v>
      </c>
      <c r="D106" s="2" t="s">
        <v>26</v>
      </c>
    </row>
    <row r="110" spans="1:5">
      <c r="A110" s="2" t="s">
        <v>0</v>
      </c>
      <c r="B110" s="2" t="s">
        <v>1</v>
      </c>
      <c r="C110" s="2" t="s">
        <v>2</v>
      </c>
      <c r="D110" s="2" t="s">
        <v>24</v>
      </c>
    </row>
    <row r="111" spans="1:5">
      <c r="A111" s="2" t="s">
        <v>3</v>
      </c>
      <c r="B111" s="2" t="s">
        <v>4</v>
      </c>
      <c r="C111" s="2" t="s">
        <v>2</v>
      </c>
      <c r="D111" s="2" t="s">
        <v>25</v>
      </c>
    </row>
    <row r="112" spans="1:5">
      <c r="A112" s="2" t="s">
        <v>5</v>
      </c>
      <c r="B112" s="2" t="s">
        <v>2</v>
      </c>
      <c r="C112" s="2" t="s">
        <v>6</v>
      </c>
    </row>
    <row r="113" spans="1:5">
      <c r="A113" s="2" t="s">
        <v>7</v>
      </c>
    </row>
    <row r="114" spans="1:5">
      <c r="B114" s="2" t="s">
        <v>8</v>
      </c>
      <c r="C114" s="2" t="s">
        <v>9</v>
      </c>
    </row>
    <row r="115" spans="1:5">
      <c r="B115" s="2" t="s">
        <v>10</v>
      </c>
      <c r="C115" s="2" t="s">
        <v>11</v>
      </c>
    </row>
    <row r="116" spans="1:5">
      <c r="B116" s="2" t="s">
        <v>12</v>
      </c>
      <c r="C116" s="2" t="s">
        <v>13</v>
      </c>
      <c r="D116" s="3" t="s">
        <v>68</v>
      </c>
    </row>
    <row r="117" spans="1:5">
      <c r="B117" s="2" t="s">
        <v>14</v>
      </c>
      <c r="C117" s="2" t="s">
        <v>43</v>
      </c>
    </row>
    <row r="118" spans="1:5">
      <c r="B118" s="2" t="s">
        <v>15</v>
      </c>
      <c r="C118" s="2" t="s">
        <v>16</v>
      </c>
    </row>
    <row r="119" spans="1:5">
      <c r="B119" s="2" t="s">
        <v>17</v>
      </c>
      <c r="C119" s="2" t="s">
        <v>18</v>
      </c>
    </row>
    <row r="120" spans="1:5">
      <c r="A120" s="2" t="s">
        <v>19</v>
      </c>
    </row>
    <row r="121" spans="1:5">
      <c r="A121" s="2" t="s">
        <v>20</v>
      </c>
      <c r="B121" s="2">
        <v>3348000</v>
      </c>
      <c r="C121" s="2" t="s">
        <v>21</v>
      </c>
      <c r="D121" s="2" t="s">
        <v>22</v>
      </c>
      <c r="E121" s="2">
        <v>3407872</v>
      </c>
    </row>
    <row r="122" spans="1:5">
      <c r="A122" s="2">
        <v>15.918279</v>
      </c>
      <c r="B122" s="2">
        <v>3.8865279501267601E-3</v>
      </c>
      <c r="C122" s="2">
        <v>0.107212110336128</v>
      </c>
      <c r="D122" s="2">
        <f>C122/2/PI()/A122</f>
        <v>1.0719335500595545E-3</v>
      </c>
      <c r="E122" s="2" t="str">
        <f>COMPLEX(B122,C122)</f>
        <v>0.00388652795012676+0.107212110336128i</v>
      </c>
    </row>
    <row r="123" spans="1:5">
      <c r="A123" s="2">
        <v>15.918279</v>
      </c>
      <c r="B123" s="2">
        <v>3.8874852077147698E-3</v>
      </c>
      <c r="C123" s="2">
        <v>0.107211222826396</v>
      </c>
      <c r="D123" s="2">
        <f t="shared" ref="D123:D141" si="8">C123/2/PI()/A123</f>
        <v>1.0719246765148146E-3</v>
      </c>
      <c r="E123" s="2" t="str">
        <f t="shared" ref="E123:E141" si="9">COMPLEX(B123,C123)</f>
        <v>0.00388748520771477+0.107211222826396i</v>
      </c>
    </row>
    <row r="124" spans="1:5">
      <c r="A124" s="2">
        <v>15.918279</v>
      </c>
      <c r="B124" s="2">
        <v>3.8858376447772399E-3</v>
      </c>
      <c r="C124" s="2">
        <v>0.107212243950325</v>
      </c>
      <c r="D124" s="2">
        <f t="shared" si="8"/>
        <v>1.0719348859677845E-3</v>
      </c>
      <c r="E124" s="2" t="str">
        <f t="shared" si="9"/>
        <v>0.00388583764477724+0.107212243950325i</v>
      </c>
    </row>
    <row r="125" spans="1:5">
      <c r="A125" s="2">
        <v>15.918279</v>
      </c>
      <c r="B125" s="2">
        <v>3.8899626541829598E-3</v>
      </c>
      <c r="C125" s="2">
        <v>0.107213021970052</v>
      </c>
      <c r="D125" s="2">
        <f t="shared" si="8"/>
        <v>1.0719426648040126E-3</v>
      </c>
      <c r="E125" s="2" t="str">
        <f t="shared" si="9"/>
        <v>0.00388996265418296+0.107213021970052i</v>
      </c>
    </row>
    <row r="126" spans="1:5">
      <c r="A126" s="2">
        <v>15.918279</v>
      </c>
      <c r="B126" s="2">
        <v>3.89056647122681E-3</v>
      </c>
      <c r="C126" s="2">
        <v>0.107218033354404</v>
      </c>
      <c r="D126" s="2">
        <f t="shared" si="8"/>
        <v>1.0719927698807832E-3</v>
      </c>
      <c r="E126" s="2" t="str">
        <f t="shared" si="9"/>
        <v>0.00389056647122681+0.107218033354404i</v>
      </c>
    </row>
    <row r="127" spans="1:5">
      <c r="A127" s="2">
        <v>159.18338600000001</v>
      </c>
      <c r="B127" s="2">
        <v>4.4645027467905898E-2</v>
      </c>
      <c r="C127" s="2">
        <v>1.0497632837713</v>
      </c>
      <c r="D127" s="2">
        <f t="shared" si="8"/>
        <v>1.0495757119312842E-3</v>
      </c>
      <c r="E127" s="2" t="str">
        <f t="shared" si="9"/>
        <v>0.0446450274679059+1.0497632837713i</v>
      </c>
    </row>
    <row r="128" spans="1:5">
      <c r="A128" s="2">
        <v>159.18338600000001</v>
      </c>
      <c r="B128" s="2">
        <v>4.4648837592281901E-2</v>
      </c>
      <c r="C128" s="2">
        <v>1.0497680615965499</v>
      </c>
      <c r="D128" s="2">
        <f t="shared" si="8"/>
        <v>1.0495804889028317E-3</v>
      </c>
      <c r="E128" s="2" t="str">
        <f t="shared" si="9"/>
        <v>0.0446488375922819+1.04976806159655i</v>
      </c>
    </row>
    <row r="129" spans="1:5">
      <c r="A129" s="2">
        <v>159.18338600000001</v>
      </c>
      <c r="B129" s="2">
        <v>4.46602003825608E-2</v>
      </c>
      <c r="C129" s="2">
        <v>1.04978555581993</v>
      </c>
      <c r="D129" s="2">
        <f t="shared" si="8"/>
        <v>1.0495979800003417E-3</v>
      </c>
      <c r="E129" s="2" t="str">
        <f t="shared" si="9"/>
        <v>0.0446602003825608+1.04978555581993i</v>
      </c>
    </row>
    <row r="130" spans="1:5">
      <c r="A130" s="2">
        <v>159.18338600000001</v>
      </c>
      <c r="B130" s="2">
        <v>4.4680929357757401E-2</v>
      </c>
      <c r="C130" s="2">
        <v>1.0497871464728401</v>
      </c>
      <c r="D130" s="2">
        <f t="shared" si="8"/>
        <v>1.0495995703690337E-3</v>
      </c>
      <c r="E130" s="2" t="str">
        <f t="shared" si="9"/>
        <v>0.0446809293577574+1.04978714647284i</v>
      </c>
    </row>
    <row r="131" spans="1:5">
      <c r="A131" s="2">
        <v>159.18338600000001</v>
      </c>
      <c r="B131" s="2">
        <v>4.4677550548737302E-2</v>
      </c>
      <c r="C131" s="2">
        <v>1.0497997891606501</v>
      </c>
      <c r="D131" s="2">
        <f t="shared" si="8"/>
        <v>1.0496122107978465E-3</v>
      </c>
      <c r="E131" s="2" t="str">
        <f t="shared" si="9"/>
        <v>0.0446775505487373+1.04979978916065i</v>
      </c>
    </row>
    <row r="132" spans="1:5">
      <c r="A132" s="2">
        <v>1591.630257</v>
      </c>
      <c r="B132" s="2">
        <v>3.2005193752211598</v>
      </c>
      <c r="C132" s="2">
        <v>9.3729654486925806</v>
      </c>
      <c r="D132" s="2">
        <f t="shared" si="8"/>
        <v>9.3724894712715243E-4</v>
      </c>
      <c r="E132" s="2" t="str">
        <f t="shared" si="9"/>
        <v>3.20051937522116+9.37296544869258i</v>
      </c>
    </row>
    <row r="133" spans="1:5">
      <c r="A133" s="2">
        <v>1591.630257</v>
      </c>
      <c r="B133" s="2">
        <v>3.2004036947026799</v>
      </c>
      <c r="C133" s="2">
        <v>9.3730439616769399</v>
      </c>
      <c r="D133" s="2">
        <f t="shared" si="8"/>
        <v>9.3725679802688408E-4</v>
      </c>
      <c r="E133" s="2" t="str">
        <f t="shared" si="9"/>
        <v>3.20040369470268+9.37304396167694i</v>
      </c>
    </row>
    <row r="134" spans="1:5">
      <c r="A134" s="2">
        <v>1591.630257</v>
      </c>
      <c r="B134" s="2">
        <v>3.2006814371833001</v>
      </c>
      <c r="C134" s="2">
        <v>9.3732535828359005</v>
      </c>
      <c r="D134" s="2">
        <f t="shared" si="8"/>
        <v>9.3727775907828312E-4</v>
      </c>
      <c r="E134" s="2" t="str">
        <f t="shared" si="9"/>
        <v>3.2006814371833+9.3732535828359i</v>
      </c>
    </row>
    <row r="135" spans="1:5">
      <c r="A135" s="2">
        <v>1591.630257</v>
      </c>
      <c r="B135" s="2">
        <v>3.2006496298404001</v>
      </c>
      <c r="C135" s="2">
        <v>9.3730502156759403</v>
      </c>
      <c r="D135" s="2">
        <f t="shared" si="8"/>
        <v>9.3725742339502503E-4</v>
      </c>
      <c r="E135" s="2" t="str">
        <f t="shared" si="9"/>
        <v>3.2006496298404+9.37305021567594i</v>
      </c>
    </row>
    <row r="136" spans="1:5">
      <c r="A136" s="2">
        <v>1591.630257</v>
      </c>
      <c r="B136" s="2">
        <v>3.2005622467368702</v>
      </c>
      <c r="C136" s="2">
        <v>9.3729516583636503</v>
      </c>
      <c r="D136" s="2">
        <f t="shared" si="8"/>
        <v>9.3724756816428926E-4</v>
      </c>
      <c r="E136" s="2" t="str">
        <f t="shared" si="9"/>
        <v>3.20056224673687+9.37295165836365i</v>
      </c>
    </row>
    <row r="137" spans="1:5">
      <c r="A137" s="2">
        <v>15918.331518999999</v>
      </c>
      <c r="B137" s="2">
        <v>28.3688193186102</v>
      </c>
      <c r="C137" s="2">
        <v>8.5558788710132099</v>
      </c>
      <c r="D137" s="2">
        <f t="shared" si="8"/>
        <v>8.5543539107219252E-5</v>
      </c>
      <c r="E137" s="2" t="str">
        <f t="shared" si="9"/>
        <v>28.3688193186102+8.55587887101321i</v>
      </c>
    </row>
    <row r="138" spans="1:5">
      <c r="A138" s="2">
        <v>15918.331518999999</v>
      </c>
      <c r="B138" s="2">
        <v>28.370094215829099</v>
      </c>
      <c r="C138" s="2">
        <v>8.5529604220974207</v>
      </c>
      <c r="D138" s="2">
        <f t="shared" si="8"/>
        <v>8.5514359819769759E-5</v>
      </c>
      <c r="E138" s="2" t="str">
        <f t="shared" si="9"/>
        <v>28.3700942158291+8.55296042209742i</v>
      </c>
    </row>
    <row r="139" spans="1:5">
      <c r="A139" s="2">
        <v>15918.331518999999</v>
      </c>
      <c r="B139" s="2">
        <v>28.369286302870101</v>
      </c>
      <c r="C139" s="2">
        <v>8.5572247211637595</v>
      </c>
      <c r="D139" s="2">
        <f t="shared" si="8"/>
        <v>8.5556995209943649E-5</v>
      </c>
      <c r="E139" s="2" t="str">
        <f t="shared" si="9"/>
        <v>28.3692863028701+8.55722472116376i</v>
      </c>
    </row>
    <row r="140" spans="1:5">
      <c r="A140" s="2">
        <v>15918.331518999999</v>
      </c>
      <c r="B140" s="2">
        <v>28.370630401136999</v>
      </c>
      <c r="C140" s="2">
        <v>8.5590971142765895</v>
      </c>
      <c r="D140" s="2">
        <f t="shared" si="8"/>
        <v>8.5575715803805057E-5</v>
      </c>
      <c r="E140" s="2" t="str">
        <f t="shared" si="9"/>
        <v>28.370630401137+8.55909711427659i</v>
      </c>
    </row>
    <row r="141" spans="1:5">
      <c r="A141" s="2">
        <v>15918.331518999999</v>
      </c>
      <c r="B141" s="2">
        <v>28.369077728093199</v>
      </c>
      <c r="C141" s="2">
        <v>8.5567087937619402</v>
      </c>
      <c r="D141" s="2">
        <f t="shared" si="8"/>
        <v>8.555183685549062E-5</v>
      </c>
      <c r="E141" s="2" t="str">
        <f t="shared" si="9"/>
        <v>28.3690777280932+8.55670879376194i</v>
      </c>
    </row>
    <row r="142" spans="1:5">
      <c r="A142" s="2" t="s">
        <v>23</v>
      </c>
      <c r="B142" s="2" t="s">
        <v>1</v>
      </c>
      <c r="C142" s="2" t="s">
        <v>2</v>
      </c>
      <c r="D142" s="2" t="s">
        <v>26</v>
      </c>
    </row>
    <row r="145" spans="1:7">
      <c r="A145" s="2" t="s">
        <v>0</v>
      </c>
      <c r="B145" s="2" t="s">
        <v>1</v>
      </c>
      <c r="C145" s="2" t="s">
        <v>2</v>
      </c>
      <c r="D145" s="2" t="s">
        <v>24</v>
      </c>
    </row>
    <row r="146" spans="1:7">
      <c r="A146" s="2" t="s">
        <v>3</v>
      </c>
      <c r="B146" s="2" t="s">
        <v>4</v>
      </c>
      <c r="C146" s="2" t="s">
        <v>2</v>
      </c>
      <c r="D146" s="2" t="s">
        <v>25</v>
      </c>
    </row>
    <row r="147" spans="1:7">
      <c r="A147" s="2" t="s">
        <v>5</v>
      </c>
      <c r="B147" s="2" t="s">
        <v>2</v>
      </c>
      <c r="C147" s="2" t="s">
        <v>6</v>
      </c>
    </row>
    <row r="148" spans="1:7">
      <c r="A148" s="2" t="s">
        <v>7</v>
      </c>
    </row>
    <row r="149" spans="1:7">
      <c r="B149" s="2" t="s">
        <v>8</v>
      </c>
      <c r="C149" s="2" t="s">
        <v>9</v>
      </c>
    </row>
    <row r="150" spans="1:7">
      <c r="B150" s="2" t="s">
        <v>10</v>
      </c>
      <c r="C150" s="2" t="s">
        <v>11</v>
      </c>
    </row>
    <row r="151" spans="1:7">
      <c r="B151" s="2" t="s">
        <v>12</v>
      </c>
      <c r="C151" s="2" t="s">
        <v>13</v>
      </c>
    </row>
    <row r="152" spans="1:7">
      <c r="B152" s="2" t="s">
        <v>14</v>
      </c>
      <c r="C152" s="2" t="s">
        <v>69</v>
      </c>
    </row>
    <row r="153" spans="1:7">
      <c r="B153" s="2" t="s">
        <v>15</v>
      </c>
      <c r="C153" s="2" t="s">
        <v>16</v>
      </c>
    </row>
    <row r="154" spans="1:7">
      <c r="B154" s="2" t="s">
        <v>17</v>
      </c>
      <c r="C154" s="2" t="s">
        <v>18</v>
      </c>
    </row>
    <row r="155" spans="1:7">
      <c r="A155" s="2" t="s">
        <v>19</v>
      </c>
    </row>
    <row r="156" spans="1:7">
      <c r="A156" s="2" t="s">
        <v>20</v>
      </c>
      <c r="B156" s="2">
        <v>3348000</v>
      </c>
      <c r="C156" s="2" t="s">
        <v>21</v>
      </c>
      <c r="D156" s="2" t="s">
        <v>22</v>
      </c>
      <c r="E156" s="2">
        <v>3463086</v>
      </c>
    </row>
    <row r="157" spans="1:7">
      <c r="A157" s="2">
        <v>15.918279</v>
      </c>
      <c r="B157" s="2">
        <v>0.33185503407771599</v>
      </c>
      <c r="C157" s="2">
        <v>-9.2128327407271495</v>
      </c>
      <c r="D157" s="2">
        <f>-1/C157/2/PI()/A157</f>
        <v>1.0852525943561495E-3</v>
      </c>
      <c r="E157" s="2" t="str">
        <f>COMPLEX(B157,C157)</f>
        <v>0.331855034077716-9.21283274072715i</v>
      </c>
      <c r="F157" s="2" t="str">
        <f>IMPRODUCT(E122,E157)</f>
        <v>0.989017004172465-0.00022705341753939i</v>
      </c>
      <c r="G157" s="2">
        <f>IMABS(F157)</f>
        <v>0.98901703023534027</v>
      </c>
    </row>
    <row r="158" spans="1:7">
      <c r="A158" s="2">
        <v>15.918279</v>
      </c>
      <c r="B158" s="2">
        <v>0.33170623798717502</v>
      </c>
      <c r="C158" s="2">
        <v>-9.2127552535378801</v>
      </c>
      <c r="D158" s="2">
        <f t="shared" ref="D158:D176" si="10">-1/C158/2/PI()/A158</f>
        <v>1.0852617222631513E-3</v>
      </c>
      <c r="E158" s="2" t="str">
        <f t="shared" ref="E158:E176" si="11">COMPLEX(B158,C158)</f>
        <v>0.331706237987175-9.21275525353788i</v>
      </c>
      <c r="F158" s="2" t="str">
        <f t="shared" ref="F158:F176" si="12">IMPRODUCT(E123,E158)</f>
        <v>0.989000259425582-0.000251818376676476i</v>
      </c>
      <c r="G158" s="2">
        <f t="shared" ref="G158:G176" si="13">IMABS(F158)</f>
        <v>0.98900029148446833</v>
      </c>
    </row>
    <row r="159" spans="1:7">
      <c r="A159" s="2">
        <v>15.918279</v>
      </c>
      <c r="B159" s="2">
        <v>0.33174155361119201</v>
      </c>
      <c r="C159" s="2">
        <v>-9.2133652669355008</v>
      </c>
      <c r="D159" s="2">
        <f t="shared" si="10"/>
        <v>1.08518986749876E-3</v>
      </c>
      <c r="E159" s="2" t="str">
        <f t="shared" si="11"/>
        <v>0.331741553611192-9.2133652669355i</v>
      </c>
      <c r="F159" s="2" t="str">
        <f t="shared" si="12"/>
        <v>0.989074658419499-0.000234885215118136i</v>
      </c>
      <c r="G159" s="2">
        <f t="shared" si="13"/>
        <v>0.98907468630974116</v>
      </c>
    </row>
    <row r="160" spans="1:7">
      <c r="A160" s="2">
        <v>15.918279</v>
      </c>
      <c r="B160" s="2">
        <v>0.33176625317056102</v>
      </c>
      <c r="C160" s="2">
        <v>-9.2130750337937997</v>
      </c>
      <c r="D160" s="2">
        <f t="shared" si="10"/>
        <v>1.0852240534858959E-3</v>
      </c>
      <c r="E160" s="2" t="str">
        <f t="shared" si="11"/>
        <v>0.331766253170561-9.2130750337938i</v>
      </c>
      <c r="F160" s="2" t="str">
        <f t="shared" si="12"/>
        <v>0.989052174344624-0.000268855221546099i</v>
      </c>
      <c r="G160" s="2">
        <f t="shared" si="13"/>
        <v>0.98905221088623962</v>
      </c>
    </row>
    <row r="161" spans="1:7">
      <c r="A161" s="2">
        <v>15.918279</v>
      </c>
      <c r="B161" s="2">
        <v>0.33223451260957798</v>
      </c>
      <c r="C161" s="2">
        <v>-9.2126675110592497</v>
      </c>
      <c r="D161" s="2">
        <f t="shared" si="10"/>
        <v>1.0852720584175126E-3</v>
      </c>
      <c r="E161" s="2" t="str">
        <f t="shared" si="11"/>
        <v>0.332234512609578-9.21266751105925i</v>
      </c>
      <c r="F161" s="2" t="str">
        <f t="shared" si="12"/>
        <v>0.989056672939128-0.000220964274629774i</v>
      </c>
      <c r="G161" s="2">
        <f t="shared" si="13"/>
        <v>0.98905669762184423</v>
      </c>
    </row>
    <row r="162" spans="1:7">
      <c r="A162" s="2">
        <v>159.18338600000001</v>
      </c>
      <c r="B162" s="2">
        <v>3.7640008700642602E-2</v>
      </c>
      <c r="C162" s="2">
        <v>-0.94058142857300797</v>
      </c>
      <c r="D162" s="2">
        <f t="shared" si="10"/>
        <v>1.0629822038766648E-3</v>
      </c>
      <c r="E162" s="2" t="str">
        <f t="shared" si="11"/>
        <v>0.0376400087006426-0.940581428573008i</v>
      </c>
      <c r="F162" s="2" t="str">
        <f t="shared" si="12"/>
        <v>0.989068288335434-0.00247918457967723i</v>
      </c>
      <c r="G162" s="2">
        <f t="shared" si="13"/>
        <v>0.98907139547505118</v>
      </c>
    </row>
    <row r="163" spans="1:7">
      <c r="A163" s="2">
        <v>159.18338600000001</v>
      </c>
      <c r="B163" s="2">
        <v>3.7631084769077602E-2</v>
      </c>
      <c r="C163" s="2">
        <v>-0.94058220406210502</v>
      </c>
      <c r="D163" s="2">
        <f t="shared" si="10"/>
        <v>1.0629813274714915E-3</v>
      </c>
      <c r="E163" s="2" t="str">
        <f t="shared" si="11"/>
        <v>0.0376310847690776-0.940582204062105i</v>
      </c>
      <c r="F163" s="2" t="str">
        <f t="shared" si="12"/>
        <v>0.989073341322762-0.00249199115754944i</v>
      </c>
      <c r="G163" s="2">
        <f t="shared" si="13"/>
        <v>0.98907648062993703</v>
      </c>
    </row>
    <row r="164" spans="1:7">
      <c r="A164" s="2">
        <v>159.18338600000001</v>
      </c>
      <c r="B164" s="2">
        <v>3.76448886986748E-2</v>
      </c>
      <c r="C164" s="2">
        <v>-0.94056644247837295</v>
      </c>
      <c r="D164" s="2">
        <f t="shared" si="10"/>
        <v>1.0629991404280696E-3</v>
      </c>
      <c r="E164" s="2" t="str">
        <f t="shared" si="11"/>
        <v>0.0376448886986748-0.940566442478373i</v>
      </c>
      <c r="F164" s="2" t="str">
        <f t="shared" si="12"/>
        <v>0.989074293875395-0.00248682538787875i</v>
      </c>
      <c r="G164" s="2">
        <f t="shared" si="13"/>
        <v>0.98907742017782463</v>
      </c>
    </row>
    <row r="165" spans="1:7">
      <c r="A165" s="2">
        <v>159.18338600000001</v>
      </c>
      <c r="B165" s="2">
        <v>3.76509740121228E-2</v>
      </c>
      <c r="C165" s="2">
        <v>-0.94058410214990096</v>
      </c>
      <c r="D165" s="2">
        <f t="shared" si="10"/>
        <v>1.0629791823875163E-3</v>
      </c>
      <c r="E165" s="2" t="str">
        <f t="shared" si="11"/>
        <v>0.0376509740121228-0.940584102149901i</v>
      </c>
      <c r="F165" s="2" t="str">
        <f t="shared" si="12"/>
        <v>0.989095381123749-0.00250066325307994i</v>
      </c>
      <c r="G165" s="2">
        <f t="shared" si="13"/>
        <v>0.98909854224796001</v>
      </c>
    </row>
    <row r="166" spans="1:7">
      <c r="A166" s="2">
        <v>159.18338600000001</v>
      </c>
      <c r="B166" s="2">
        <v>3.7649122998943699E-2</v>
      </c>
      <c r="C166" s="2">
        <v>-0.94058344234026903</v>
      </c>
      <c r="D166" s="2">
        <f t="shared" si="10"/>
        <v>1.0629799280565037E-3</v>
      </c>
      <c r="E166" s="2" t="str">
        <f t="shared" si="11"/>
        <v>0.0376491229989437-0.940583442340269i</v>
      </c>
      <c r="F166" s="2" t="str">
        <f t="shared" si="12"/>
        <v>0.989106370052714-0.00249892290408823i</v>
      </c>
      <c r="G166" s="2">
        <f t="shared" si="13"/>
        <v>0.98910952674339214</v>
      </c>
    </row>
    <row r="167" spans="1:7">
      <c r="A167" s="2">
        <v>1591.630257</v>
      </c>
      <c r="B167" s="2">
        <v>2.9909158623864101E-2</v>
      </c>
      <c r="C167" s="2">
        <v>-9.45070927791377E-2</v>
      </c>
      <c r="D167" s="2">
        <f t="shared" si="10"/>
        <v>1.0580679064917627E-3</v>
      </c>
      <c r="E167" s="2" t="str">
        <f t="shared" si="11"/>
        <v>0.0299091586238641-0.0945070927791377i</v>
      </c>
      <c r="F167" s="2" t="str">
        <f t="shared" si="12"/>
        <v>0.981536556947482-0.02213427115451i</v>
      </c>
      <c r="G167" s="2">
        <f t="shared" si="13"/>
        <v>0.98178609614511203</v>
      </c>
    </row>
    <row r="168" spans="1:7">
      <c r="A168" s="2">
        <v>1591.630257</v>
      </c>
      <c r="B168" s="2">
        <v>2.99074559744947E-2</v>
      </c>
      <c r="C168" s="2">
        <v>-9.4508161950762101E-2</v>
      </c>
      <c r="D168" s="2">
        <f t="shared" si="10"/>
        <v>1.0580559365607116E-3</v>
      </c>
      <c r="E168" s="2" t="str">
        <f t="shared" si="11"/>
        <v>0.0299074559744947-0.0945081619507621i</v>
      </c>
      <c r="F168" s="2" t="str">
        <f t="shared" si="12"/>
        <v>0.981545089301708-0.0221403710559218i</v>
      </c>
      <c r="G168" s="2">
        <f t="shared" si="13"/>
        <v>0.98179476387012365</v>
      </c>
    </row>
    <row r="169" spans="1:7">
      <c r="A169" s="2">
        <v>1591.630257</v>
      </c>
      <c r="B169" s="2">
        <v>2.9906052714658699E-2</v>
      </c>
      <c r="C169" s="2">
        <v>-9.45085083693811E-2</v>
      </c>
      <c r="D169" s="2">
        <f t="shared" si="10"/>
        <v>1.0580520582826318E-3</v>
      </c>
      <c r="E169" s="2" t="str">
        <f t="shared" si="11"/>
        <v>0.0299060527146587-0.0945085083693811i</v>
      </c>
      <c r="F169" s="2" t="str">
        <f t="shared" si="12"/>
        <v>0.981571962465011-0.0221746126376067i</v>
      </c>
      <c r="G169" s="2">
        <f t="shared" si="13"/>
        <v>0.98182240295434331</v>
      </c>
    </row>
    <row r="170" spans="1:7">
      <c r="A170" s="2">
        <v>1591.630257</v>
      </c>
      <c r="B170" s="2">
        <v>2.9907175553276301E-2</v>
      </c>
      <c r="C170" s="2">
        <v>-9.4507879420901095E-2</v>
      </c>
      <c r="D170" s="2">
        <f t="shared" si="10"/>
        <v>1.0580590996027619E-3</v>
      </c>
      <c r="E170" s="2" t="str">
        <f t="shared" si="11"/>
        <v>0.0299071755532763-0.0945078794209011i</v>
      </c>
      <c r="F170" s="2" t="str">
        <f t="shared" si="12"/>
        <v>0.981549489953318-0.0221651510156136i</v>
      </c>
      <c r="G170" s="2">
        <f t="shared" si="13"/>
        <v>0.98179972252347059</v>
      </c>
    </row>
    <row r="171" spans="1:7">
      <c r="A171" s="2">
        <v>1591.630257</v>
      </c>
      <c r="B171" s="2">
        <v>2.99071390302343E-2</v>
      </c>
      <c r="C171" s="2">
        <v>-9.4506319097916694E-2</v>
      </c>
      <c r="D171" s="2">
        <f t="shared" si="10"/>
        <v>1.0580765684233416E-3</v>
      </c>
      <c r="E171" s="2" t="str">
        <f t="shared" si="11"/>
        <v>0.0299071390302343-0.0945063190979167i</v>
      </c>
      <c r="F171" s="2" t="str">
        <f t="shared" si="12"/>
        <v>0.981522820402741-0.022155188612513i</v>
      </c>
      <c r="G171" s="2">
        <f t="shared" si="13"/>
        <v>0.98177283490317002</v>
      </c>
    </row>
    <row r="172" spans="1:7">
      <c r="A172" s="2">
        <v>15918.331518999999</v>
      </c>
      <c r="B172" s="2">
        <v>2.96181139476085E-2</v>
      </c>
      <c r="C172" s="2">
        <v>-9.6205286056381505E-3</v>
      </c>
      <c r="D172" s="2">
        <f t="shared" si="10"/>
        <v>1.0392586578222094E-3</v>
      </c>
      <c r="E172" s="2" t="str">
        <f t="shared" si="11"/>
        <v>0.0296181139476085-0.00962052860563815i</v>
      </c>
      <c r="F172" s="2" t="str">
        <f t="shared" si="12"/>
        <v>0.922543000562672-0.0195140424392644i</v>
      </c>
      <c r="G172" s="2">
        <f t="shared" si="13"/>
        <v>0.92274936236201199</v>
      </c>
    </row>
    <row r="173" spans="1:7">
      <c r="A173" s="2">
        <v>15918.331518999999</v>
      </c>
      <c r="B173" s="2">
        <v>2.9618154484783901E-2</v>
      </c>
      <c r="C173" s="2">
        <v>-9.6185867292796108E-3</v>
      </c>
      <c r="D173" s="2">
        <f t="shared" si="10"/>
        <v>1.0394684715791401E-3</v>
      </c>
      <c r="E173" s="2" t="str">
        <f t="shared" si="11"/>
        <v>0.0296181544847839-0.00961858672927961i</v>
      </c>
      <c r="F173" s="2" t="str">
        <f t="shared" si="12"/>
        <v>0.92253722484434-0.0195573086488621i</v>
      </c>
      <c r="G173" s="2">
        <f t="shared" si="13"/>
        <v>0.92274450393653551</v>
      </c>
    </row>
    <row r="174" spans="1:7">
      <c r="A174" s="2">
        <v>15918.331518999999</v>
      </c>
      <c r="B174" s="2">
        <v>2.9617577330157699E-2</v>
      </c>
      <c r="C174" s="2">
        <v>-9.6243968189197691E-3</v>
      </c>
      <c r="D174" s="2">
        <f t="shared" si="10"/>
        <v>1.0388409616050997E-3</v>
      </c>
      <c r="E174" s="2" t="str">
        <f t="shared" si="11"/>
        <v>0.0296175773301577-0.00962439681891977i</v>
      </c>
      <c r="F174" s="2" t="str">
        <f t="shared" si="12"/>
        <v>0.922587657261789-0.0195930039377624i</v>
      </c>
      <c r="G174" s="2">
        <f t="shared" si="13"/>
        <v>0.92279568222608266</v>
      </c>
    </row>
    <row r="175" spans="1:7">
      <c r="A175" s="2">
        <v>15918.331518999999</v>
      </c>
      <c r="B175" s="2">
        <v>2.9617932481382999E-2</v>
      </c>
      <c r="C175" s="2">
        <v>-9.6223881275358907E-3</v>
      </c>
      <c r="D175" s="2">
        <f t="shared" si="10"/>
        <v>1.0390578215842584E-3</v>
      </c>
      <c r="E175" s="2" t="str">
        <f t="shared" si="11"/>
        <v>0.029617932481383-0.00962238812753589i</v>
      </c>
      <c r="F175" s="2" t="str">
        <f t="shared" si="12"/>
        <v>0.922638370129989-0.0194904567103654i</v>
      </c>
      <c r="G175" s="2">
        <f t="shared" si="13"/>
        <v>0.92284421217175172</v>
      </c>
    </row>
    <row r="176" spans="1:7">
      <c r="A176" s="2">
        <v>15918.331518999999</v>
      </c>
      <c r="B176" s="2">
        <v>2.9619423114762299E-2</v>
      </c>
      <c r="C176" s="2">
        <v>-9.6151872448538601E-3</v>
      </c>
      <c r="D176" s="2">
        <f t="shared" si="10"/>
        <v>1.039835979438343E-3</v>
      </c>
      <c r="E176" s="2" t="str">
        <f t="shared" si="11"/>
        <v>0.0296194231147623-0.00961518724485386i</v>
      </c>
      <c r="F176" s="2" t="str">
        <f t="shared" si="12"/>
        <v>0.922550073855681-0.0193292160871872i</v>
      </c>
      <c r="G176" s="2">
        <f t="shared" si="13"/>
        <v>0.92275254394971329</v>
      </c>
    </row>
    <row r="177" spans="1:4">
      <c r="A177" s="2" t="s">
        <v>23</v>
      </c>
      <c r="B177" s="2" t="s">
        <v>1</v>
      </c>
      <c r="C177" s="2" t="s">
        <v>2</v>
      </c>
      <c r="D177" s="2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"/>
  <sheetViews>
    <sheetView tabSelected="1" topLeftCell="I1" workbookViewId="0">
      <selection activeCell="M13" sqref="M13"/>
    </sheetView>
  </sheetViews>
  <sheetFormatPr baseColWidth="10" defaultColWidth="29.33203125" defaultRowHeight="15" x14ac:dyDescent="0"/>
  <cols>
    <col min="1" max="16384" width="29.33203125" style="5"/>
  </cols>
  <sheetData>
    <row r="1" spans="1:14">
      <c r="A1" s="5" t="s">
        <v>0</v>
      </c>
      <c r="B1" s="5" t="s">
        <v>1</v>
      </c>
      <c r="C1" s="5" t="s">
        <v>2</v>
      </c>
      <c r="D1" s="5" t="s">
        <v>24</v>
      </c>
    </row>
    <row r="2" spans="1:14">
      <c r="A2" s="5" t="s">
        <v>3</v>
      </c>
      <c r="B2" s="5" t="s">
        <v>4</v>
      </c>
      <c r="C2" s="5" t="s">
        <v>2</v>
      </c>
      <c r="D2" s="5" t="s">
        <v>25</v>
      </c>
    </row>
    <row r="3" spans="1:14">
      <c r="A3" s="5" t="s">
        <v>5</v>
      </c>
      <c r="B3" s="5" t="s">
        <v>2</v>
      </c>
      <c r="C3" s="5" t="s">
        <v>6</v>
      </c>
    </row>
    <row r="4" spans="1:14">
      <c r="A4" s="5" t="s">
        <v>7</v>
      </c>
      <c r="D4" s="3" t="s">
        <v>72</v>
      </c>
    </row>
    <row r="5" spans="1:14">
      <c r="B5" s="5" t="s">
        <v>8</v>
      </c>
      <c r="C5" s="5" t="s">
        <v>9</v>
      </c>
      <c r="D5" s="3" t="s">
        <v>73</v>
      </c>
    </row>
    <row r="6" spans="1:14">
      <c r="B6" s="5" t="s">
        <v>10</v>
      </c>
      <c r="C6" s="5" t="s">
        <v>11</v>
      </c>
    </row>
    <row r="7" spans="1:14">
      <c r="B7" s="5" t="s">
        <v>12</v>
      </c>
      <c r="C7" s="5" t="s">
        <v>13</v>
      </c>
    </row>
    <row r="8" spans="1:14">
      <c r="B8" s="5" t="s">
        <v>14</v>
      </c>
      <c r="C8" s="5" t="s">
        <v>76</v>
      </c>
    </row>
    <row r="9" spans="1:14">
      <c r="B9" s="5" t="s">
        <v>15</v>
      </c>
      <c r="C9" s="5" t="s">
        <v>16</v>
      </c>
    </row>
    <row r="10" spans="1:14">
      <c r="B10" s="5" t="s">
        <v>17</v>
      </c>
      <c r="C10" s="5" t="s">
        <v>18</v>
      </c>
    </row>
    <row r="11" spans="1:14">
      <c r="A11" s="5" t="s">
        <v>19</v>
      </c>
    </row>
    <row r="12" spans="1:14">
      <c r="A12" s="5" t="s">
        <v>20</v>
      </c>
      <c r="B12" s="5">
        <v>3348000</v>
      </c>
      <c r="C12" s="5" t="s">
        <v>21</v>
      </c>
      <c r="D12" s="5" t="s">
        <v>22</v>
      </c>
      <c r="E12" s="5">
        <v>3502849</v>
      </c>
    </row>
    <row r="13" spans="1:14">
      <c r="A13" s="5">
        <v>4037315.6208419399</v>
      </c>
      <c r="B13" s="5">
        <v>2.7455460376957301</v>
      </c>
      <c r="C13" s="5">
        <v>10.4345770702019</v>
      </c>
      <c r="D13" s="5">
        <v>-2.2496429915653402</v>
      </c>
      <c r="E13" s="5">
        <v>9.5212516557284008</v>
      </c>
      <c r="F13" s="5">
        <v>-2.13732095166886</v>
      </c>
      <c r="G13" s="5">
        <v>4037336.8518476202</v>
      </c>
      <c r="H13" s="5">
        <v>2.7455488845151201</v>
      </c>
      <c r="I13" s="5">
        <v>4.0009583724016097E-7</v>
      </c>
      <c r="J13" s="5">
        <v>2.3241258333099602E-6</v>
      </c>
      <c r="K13" s="5">
        <v>107969.107698395</v>
      </c>
      <c r="L13" s="5">
        <v>-371549.50977758301</v>
      </c>
      <c r="M13" s="5">
        <v>1.0000052586895101</v>
      </c>
      <c r="N13" s="5">
        <v>2.8468343694743698E-6</v>
      </c>
    </row>
    <row r="14" spans="1:14">
      <c r="A14" s="5">
        <v>4037304.5754856202</v>
      </c>
      <c r="B14" s="5">
        <v>2.7455457274363799</v>
      </c>
      <c r="C14" s="5">
        <v>11.5286374299599</v>
      </c>
      <c r="D14" s="5">
        <v>-2.28772636576302</v>
      </c>
      <c r="E14" s="5">
        <v>9.6713163888577505</v>
      </c>
      <c r="F14" s="5">
        <v>-2.2293424913134099</v>
      </c>
      <c r="G14" s="5">
        <v>4037328.1227638898</v>
      </c>
      <c r="H14" s="5">
        <v>2.7455485675157898</v>
      </c>
      <c r="I14" s="5">
        <v>6.2161723451915502E-7</v>
      </c>
      <c r="J14" s="5">
        <v>2.3134296661066402E-6</v>
      </c>
      <c r="K14" s="5">
        <v>110455.657410898</v>
      </c>
      <c r="L14" s="5">
        <v>-332324.457273882</v>
      </c>
      <c r="M14" s="5">
        <v>1.00000583242149</v>
      </c>
      <c r="N14" s="5">
        <v>2.84009597211609E-6</v>
      </c>
    </row>
    <row r="15" spans="1:14">
      <c r="A15" s="5">
        <v>4037311.9632390402</v>
      </c>
      <c r="B15" s="5">
        <v>2.7455459837609899</v>
      </c>
      <c r="C15" s="5">
        <v>10.9073007819298</v>
      </c>
      <c r="D15" s="5">
        <v>-2.2090200329590699</v>
      </c>
      <c r="E15" s="5">
        <v>10.4002906206007</v>
      </c>
      <c r="F15" s="5">
        <v>-1.98556183417179</v>
      </c>
      <c r="G15" s="5">
        <v>4037325.26914421</v>
      </c>
      <c r="H15" s="5">
        <v>2.7455502273058801</v>
      </c>
      <c r="I15" s="5">
        <v>4.8217720930909801E-8</v>
      </c>
      <c r="J15" s="5">
        <v>2.57559204346812E-6</v>
      </c>
      <c r="K15" s="5">
        <v>88769.409859272797</v>
      </c>
      <c r="L15" s="5">
        <v>-359346.89658609201</v>
      </c>
      <c r="M15" s="5">
        <v>1.00000329572471</v>
      </c>
      <c r="N15" s="5">
        <v>4.2435588823840897E-6</v>
      </c>
    </row>
    <row r="16" spans="1:14">
      <c r="A16" s="5">
        <v>4037316.13603542</v>
      </c>
      <c r="B16" s="5">
        <v>2.7455452521961901</v>
      </c>
      <c r="C16" s="5">
        <v>9.6441279403340108</v>
      </c>
      <c r="D16" s="5">
        <v>-2.1923521953490499</v>
      </c>
      <c r="E16" s="5">
        <v>9.1327715311366706</v>
      </c>
      <c r="F16" s="5">
        <v>-2.2404463629070301</v>
      </c>
      <c r="G16" s="5">
        <v>4037346.3957556202</v>
      </c>
      <c r="H16" s="5">
        <v>2.74555064865844</v>
      </c>
      <c r="I16" s="5">
        <v>6.1122075649648697E-7</v>
      </c>
      <c r="J16" s="5">
        <v>2.1779484190652998E-6</v>
      </c>
      <c r="K16" s="5">
        <v>93609.282845309106</v>
      </c>
      <c r="L16" s="5">
        <v>-408032.54715615697</v>
      </c>
      <c r="M16" s="5">
        <v>1.0000074949942901</v>
      </c>
      <c r="N16" s="5">
        <v>5.3965026980981696E-6</v>
      </c>
    </row>
    <row r="17" spans="1:14">
      <c r="A17" s="5">
        <v>4037317.40151123</v>
      </c>
      <c r="B17" s="5">
        <v>2.7455446761264302</v>
      </c>
      <c r="C17" s="5">
        <v>11.354194213025099</v>
      </c>
      <c r="D17" s="5">
        <v>-2.24420926293991</v>
      </c>
      <c r="E17" s="5">
        <v>10.015717749859199</v>
      </c>
      <c r="F17" s="5">
        <v>-2.0981793227615801</v>
      </c>
      <c r="G17" s="5">
        <v>4037350.63372292</v>
      </c>
      <c r="H17" s="5">
        <v>2.7455491549893898</v>
      </c>
      <c r="I17" s="5">
        <v>3.2487813887011698E-7</v>
      </c>
      <c r="J17" s="5">
        <v>2.4594206652492399E-6</v>
      </c>
      <c r="K17" s="5">
        <v>97367.888142076699</v>
      </c>
      <c r="L17" s="5">
        <v>-341991.63038228301</v>
      </c>
      <c r="M17" s="5">
        <v>1.00000823125058</v>
      </c>
      <c r="N17" s="5">
        <v>4.4788998318899804E-6</v>
      </c>
    </row>
    <row r="18" spans="1:14">
      <c r="A18" s="5">
        <v>4061848.7336493698</v>
      </c>
      <c r="B18" s="5">
        <v>1.1374233462557399</v>
      </c>
      <c r="C18" s="5">
        <v>56.608761340369398</v>
      </c>
      <c r="D18" s="5">
        <v>1.6450675117195199</v>
      </c>
      <c r="E18" s="5">
        <v>50.646040945633203</v>
      </c>
      <c r="F18" s="5">
        <v>1.70537159592854</v>
      </c>
      <c r="G18" s="5">
        <v>4061907.1743068402</v>
      </c>
      <c r="H18" s="5">
        <v>1.13742173677964</v>
      </c>
      <c r="I18" s="5">
        <v>1.0511207845069401E-5</v>
      </c>
      <c r="J18" s="5">
        <v>6.7069668704118399E-6</v>
      </c>
      <c r="K18" s="5">
        <v>62705.233779405797</v>
      </c>
      <c r="L18" s="5">
        <v>-34881.162961308299</v>
      </c>
      <c r="M18" s="5">
        <v>1.00001438769782</v>
      </c>
      <c r="N18" s="5">
        <v>-1.60949925733054E-6</v>
      </c>
    </row>
    <row r="19" spans="1:14">
      <c r="A19" s="5">
        <v>4061853.8901436799</v>
      </c>
      <c r="B19" s="5">
        <v>1.1374240903111501</v>
      </c>
      <c r="C19" s="5">
        <v>57.8438929205006</v>
      </c>
      <c r="D19" s="5">
        <v>1.67253417434691</v>
      </c>
      <c r="E19" s="5">
        <v>51.272156065342202</v>
      </c>
      <c r="F19" s="5">
        <v>1.73249622990694</v>
      </c>
      <c r="G19" s="5">
        <v>4061859.52625563</v>
      </c>
      <c r="H19" s="5">
        <v>1.13742327899401</v>
      </c>
      <c r="I19" s="5">
        <v>1.0453080522444699E-5</v>
      </c>
      <c r="J19" s="5">
        <v>7.0759697802119096E-6</v>
      </c>
      <c r="K19" s="5">
        <v>60405.005188557101</v>
      </c>
      <c r="L19" s="5">
        <v>-35808.277522929202</v>
      </c>
      <c r="M19" s="5">
        <v>1.0000013875709799</v>
      </c>
      <c r="N19" s="5">
        <v>-8.1131826763861398E-7</v>
      </c>
    </row>
    <row r="20" spans="1:14">
      <c r="A20" s="5">
        <v>4061833.2850069702</v>
      </c>
      <c r="B20" s="5">
        <v>1.13742434365333</v>
      </c>
      <c r="C20" s="5">
        <v>58.993090623569998</v>
      </c>
      <c r="D20" s="5">
        <v>1.6482479683351201</v>
      </c>
      <c r="E20" s="5">
        <v>48.9035221917256</v>
      </c>
      <c r="F20" s="5">
        <v>1.6791486618663101</v>
      </c>
      <c r="G20" s="5">
        <v>4061889.3802502002</v>
      </c>
      <c r="H20" s="5">
        <v>1.13742476141715</v>
      </c>
      <c r="I20" s="5">
        <v>1.0315922791449701E-5</v>
      </c>
      <c r="J20" s="5">
        <v>6.2078741737812504E-6</v>
      </c>
      <c r="K20" s="5">
        <v>60063.950773799101</v>
      </c>
      <c r="L20" s="5">
        <v>-33662.2398189058</v>
      </c>
      <c r="M20" s="5">
        <v>1.0000138103262599</v>
      </c>
      <c r="N20" s="5">
        <v>4.1776959232429399E-7</v>
      </c>
    </row>
    <row r="21" spans="1:14">
      <c r="A21" s="5">
        <v>4061844.1800273499</v>
      </c>
      <c r="B21" s="5">
        <v>1.1374234627646</v>
      </c>
      <c r="C21" s="5">
        <v>56.288433316248799</v>
      </c>
      <c r="D21" s="5">
        <v>1.64339058179537</v>
      </c>
      <c r="E21" s="5">
        <v>51.153070846573101</v>
      </c>
      <c r="F21" s="5">
        <v>1.7288220325847401</v>
      </c>
      <c r="G21" s="5">
        <v>4061897.7504340899</v>
      </c>
      <c r="H21" s="5">
        <v>1.1374239205316901</v>
      </c>
      <c r="I21" s="5">
        <v>1.0454690353869201E-5</v>
      </c>
      <c r="J21" s="5">
        <v>7.0211933665798801E-6</v>
      </c>
      <c r="K21" s="5">
        <v>63120.746112983201</v>
      </c>
      <c r="L21" s="5">
        <v>-34973.646861282403</v>
      </c>
      <c r="M21" s="5">
        <v>1.0000131886906301</v>
      </c>
      <c r="N21" s="5">
        <v>4.5777312503278601E-7</v>
      </c>
    </row>
    <row r="22" spans="1:14">
      <c r="A22" s="5">
        <v>4061836.72870332</v>
      </c>
      <c r="B22" s="5">
        <v>1.1374209136100999</v>
      </c>
      <c r="C22" s="5">
        <v>58.211843598260103</v>
      </c>
      <c r="D22" s="5">
        <v>1.66951481827552</v>
      </c>
      <c r="E22" s="5">
        <v>51.942670289320702</v>
      </c>
      <c r="F22" s="5">
        <v>1.6844485233847399</v>
      </c>
      <c r="G22" s="5">
        <v>4061894.6005542399</v>
      </c>
      <c r="H22" s="5">
        <v>1.1374238696221901</v>
      </c>
      <c r="I22" s="5">
        <v>1.092188266039E-5</v>
      </c>
      <c r="J22" s="5">
        <v>6.6516770334092798E-6</v>
      </c>
      <c r="K22" s="5">
        <v>60130.892687815001</v>
      </c>
      <c r="L22" s="5">
        <v>-35400.814194092003</v>
      </c>
      <c r="M22" s="5">
        <v>1.0000142477004901</v>
      </c>
      <c r="N22" s="5">
        <v>2.9560542142986101E-6</v>
      </c>
    </row>
    <row r="23" spans="1:14">
      <c r="A23" s="5">
        <v>4058214.4686134499</v>
      </c>
      <c r="B23" s="5">
        <v>-1.2237070761172499</v>
      </c>
      <c r="C23" s="5">
        <v>65.695797567357104</v>
      </c>
      <c r="D23" s="5">
        <v>-0.97586280417513105</v>
      </c>
      <c r="E23" s="5">
        <v>61.713464969169401</v>
      </c>
      <c r="F23" s="5">
        <v>-0.95134804743779899</v>
      </c>
      <c r="G23" s="5">
        <v>4058239.5520866499</v>
      </c>
      <c r="H23" s="5">
        <v>-1.2237054577478299</v>
      </c>
      <c r="I23" s="5">
        <v>1.46465014761578E-5</v>
      </c>
      <c r="J23" s="5">
        <v>4.0907608091867804E-6</v>
      </c>
      <c r="K23" s="5">
        <v>59885.650754039103</v>
      </c>
      <c r="L23" s="5">
        <v>-15153.7751855559</v>
      </c>
      <c r="M23" s="5">
        <v>1.00000618091233</v>
      </c>
      <c r="N23" s="5">
        <v>1.61837942269357E-6</v>
      </c>
    </row>
    <row r="24" spans="1:14">
      <c r="A24" s="5">
        <v>4058218.1599233202</v>
      </c>
      <c r="B24" s="5">
        <v>-1.2237207821623199</v>
      </c>
      <c r="C24" s="5">
        <v>67.410980411144493</v>
      </c>
      <c r="D24" s="5">
        <v>-0.98439747249505505</v>
      </c>
      <c r="E24" s="5">
        <v>61.451280148331399</v>
      </c>
      <c r="F24" s="5">
        <v>-0.93937874348860295</v>
      </c>
      <c r="G24" s="5">
        <v>4058231.4597553201</v>
      </c>
      <c r="H24" s="5">
        <v>-1.2237305952919499</v>
      </c>
      <c r="I24" s="5">
        <v>1.4534406454267801E-5</v>
      </c>
      <c r="J24" s="5">
        <v>4.2478445726864098E-6</v>
      </c>
      <c r="K24" s="5">
        <v>58485.379259933899</v>
      </c>
      <c r="L24" s="5">
        <v>-14271.0176243723</v>
      </c>
      <c r="M24" s="5">
        <v>1.00000327721085</v>
      </c>
      <c r="N24" s="5">
        <v>-9.8131617831077107E-6</v>
      </c>
    </row>
    <row r="25" spans="1:14">
      <c r="A25" s="5">
        <v>4058224.4571296298</v>
      </c>
      <c r="B25" s="5">
        <v>-1.22372104347599</v>
      </c>
      <c r="C25" s="5">
        <v>66.809289395205795</v>
      </c>
      <c r="D25" s="5">
        <v>-0.98260271438189895</v>
      </c>
      <c r="E25" s="5">
        <v>61.659926637919</v>
      </c>
      <c r="F25" s="5">
        <v>-0.94603673626208495</v>
      </c>
      <c r="G25" s="5">
        <v>4058238.8330774801</v>
      </c>
      <c r="H25" s="5">
        <v>-1.2237119356856501</v>
      </c>
      <c r="I25" s="5">
        <v>1.46117862853986E-5</v>
      </c>
      <c r="J25" s="5">
        <v>4.1650724100895303E-6</v>
      </c>
      <c r="K25" s="5">
        <v>58986.543423331699</v>
      </c>
      <c r="L25" s="5">
        <v>-14504.3587054896</v>
      </c>
      <c r="M25" s="5">
        <v>1.0000035423815701</v>
      </c>
      <c r="N25" s="5">
        <v>9.1078226040907296E-6</v>
      </c>
    </row>
    <row r="26" spans="1:14">
      <c r="A26" s="5">
        <v>4058227.4669762198</v>
      </c>
      <c r="B26" s="5">
        <v>-1.2237113945542699</v>
      </c>
      <c r="C26" s="5">
        <v>66.895717084943897</v>
      </c>
      <c r="D26" s="5">
        <v>-0.994585064830662</v>
      </c>
      <c r="E26" s="5">
        <v>62.660931569716098</v>
      </c>
      <c r="F26" s="5">
        <v>-0.92671867717123202</v>
      </c>
      <c r="G26" s="5">
        <v>4058259.9842880699</v>
      </c>
      <c r="H26" s="5">
        <v>-1.2237233656725599</v>
      </c>
      <c r="I26" s="5">
        <v>1.4764497962727599E-5</v>
      </c>
      <c r="J26" s="5">
        <v>4.51858979232818E-6</v>
      </c>
      <c r="K26" s="5">
        <v>59079.823211927003</v>
      </c>
      <c r="L26" s="5">
        <v>-13779.4592473783</v>
      </c>
      <c r="M26" s="5">
        <v>1.0000080126166699</v>
      </c>
      <c r="N26" s="5">
        <v>-1.19712142140858E-5</v>
      </c>
    </row>
    <row r="27" spans="1:14">
      <c r="A27" s="5">
        <v>4058230.64193562</v>
      </c>
      <c r="B27" s="5">
        <v>-1.2237084505121101</v>
      </c>
      <c r="C27" s="5">
        <v>66.489922385026503</v>
      </c>
      <c r="D27" s="5">
        <v>-0.98800805104355705</v>
      </c>
      <c r="E27" s="5">
        <v>61.859681217057499</v>
      </c>
      <c r="F27" s="5">
        <v>-0.95482229827152598</v>
      </c>
      <c r="G27" s="5">
        <v>4058236.2905292399</v>
      </c>
      <c r="H27" s="5">
        <v>-1.2237164319081399</v>
      </c>
      <c r="I27" s="5">
        <v>1.46952963227584E-5</v>
      </c>
      <c r="J27" s="5">
        <v>4.0494261840979202E-6</v>
      </c>
      <c r="K27" s="5">
        <v>59347.6799143518</v>
      </c>
      <c r="L27" s="5">
        <v>-14253.6995725374</v>
      </c>
      <c r="M27" s="5">
        <v>1.0000013918539501</v>
      </c>
      <c r="N27" s="5">
        <v>-7.9814071384581692E-6</v>
      </c>
    </row>
    <row r="28" spans="1:14">
      <c r="A28" s="5">
        <v>3921018.9081046698</v>
      </c>
      <c r="B28" s="5">
        <v>1.57126048392915</v>
      </c>
      <c r="C28" s="5">
        <v>134.32278341015501</v>
      </c>
      <c r="D28" s="5">
        <v>2.73402450796041</v>
      </c>
      <c r="E28" s="5">
        <v>138.70413056791199</v>
      </c>
      <c r="F28" s="5">
        <v>2.77560933051838</v>
      </c>
      <c r="G28" s="5">
        <v>3921117.3148321998</v>
      </c>
      <c r="H28" s="5">
        <v>1.57109508561537</v>
      </c>
      <c r="I28" s="5">
        <v>1.26747246551868E-5</v>
      </c>
      <c r="J28" s="5">
        <v>3.3025860425987102E-5</v>
      </c>
      <c r="K28" s="5">
        <v>11578.9700121777</v>
      </c>
      <c r="L28" s="5">
        <v>-26797.123155558002</v>
      </c>
      <c r="M28" s="5">
        <v>1.00002508355496</v>
      </c>
      <c r="N28" s="5">
        <v>-1.65402464070413E-4</v>
      </c>
    </row>
    <row r="29" spans="1:14">
      <c r="A29" s="5">
        <v>3921017.19645982</v>
      </c>
      <c r="B29" s="5">
        <v>1.57116336049466</v>
      </c>
      <c r="C29" s="5">
        <v>134.18594907148099</v>
      </c>
      <c r="D29" s="5">
        <v>2.7247783414597899</v>
      </c>
      <c r="E29" s="5">
        <v>138.440813555983</v>
      </c>
      <c r="F29" s="5">
        <v>2.7764882631249002</v>
      </c>
      <c r="G29" s="5">
        <v>3921103.6264748499</v>
      </c>
      <c r="H29" s="5">
        <v>1.57120978533446</v>
      </c>
      <c r="I29" s="5">
        <v>1.26184884504414E-5</v>
      </c>
      <c r="J29" s="5">
        <v>3.2975510319917199E-5</v>
      </c>
      <c r="K29" s="5">
        <v>11841.3247665572</v>
      </c>
      <c r="L29" s="5">
        <v>-26714.6825246884</v>
      </c>
      <c r="M29" s="5">
        <v>1.00002204167571</v>
      </c>
      <c r="N29" s="5">
        <v>4.64258631141393E-5</v>
      </c>
    </row>
    <row r="30" spans="1:14">
      <c r="A30" s="5">
        <v>3921032.6572081102</v>
      </c>
      <c r="B30" s="5">
        <v>1.5710545396828199</v>
      </c>
      <c r="C30" s="5">
        <v>134.80655077857699</v>
      </c>
      <c r="D30" s="5">
        <v>2.7292956713771201</v>
      </c>
      <c r="E30" s="5">
        <v>138.92969298075801</v>
      </c>
      <c r="F30" s="5">
        <v>2.77987308890479</v>
      </c>
      <c r="G30" s="5">
        <v>3921131.8122816202</v>
      </c>
      <c r="H30" s="5">
        <v>1.57121117923677</v>
      </c>
      <c r="I30" s="5">
        <v>1.25473103028925E-5</v>
      </c>
      <c r="J30" s="5">
        <v>3.3135865061493101E-5</v>
      </c>
      <c r="K30" s="5">
        <v>11666.689170788901</v>
      </c>
      <c r="L30" s="5">
        <v>-26644.846252494699</v>
      </c>
      <c r="M30" s="5">
        <v>1.0000252757316299</v>
      </c>
      <c r="N30" s="5">
        <v>1.5664351440679899E-4</v>
      </c>
    </row>
    <row r="31" spans="1:14">
      <c r="A31" s="5">
        <v>3921054.0074209999</v>
      </c>
      <c r="B31" s="5">
        <v>1.5712559205888299</v>
      </c>
      <c r="C31" s="5">
        <v>133.725981725449</v>
      </c>
      <c r="D31" s="5">
        <v>2.7384507481056102</v>
      </c>
      <c r="E31" s="5">
        <v>138.483520119546</v>
      </c>
      <c r="F31" s="5">
        <v>2.7744548278810699</v>
      </c>
      <c r="G31" s="5">
        <v>3921130.11417657</v>
      </c>
      <c r="H31" s="5">
        <v>1.5713387360514599</v>
      </c>
      <c r="I31" s="5">
        <v>1.26923607046535E-5</v>
      </c>
      <c r="J31" s="5">
        <v>3.2958463620547103E-5</v>
      </c>
      <c r="K31" s="5">
        <v>11518.000066869799</v>
      </c>
      <c r="L31" s="5">
        <v>-26965.213890111299</v>
      </c>
      <c r="M31" s="5">
        <v>1.0000194063404999</v>
      </c>
      <c r="N31" s="5">
        <v>8.2817069965375104E-5</v>
      </c>
    </row>
    <row r="32" spans="1:14">
      <c r="A32" s="5">
        <v>3921041.2489025202</v>
      </c>
      <c r="B32" s="5">
        <v>1.5712639950528799</v>
      </c>
      <c r="C32" s="5">
        <v>134.70245361246501</v>
      </c>
      <c r="D32" s="5">
        <v>2.7287730564836998</v>
      </c>
      <c r="E32" s="5">
        <v>138.322184050347</v>
      </c>
      <c r="F32" s="5">
        <v>2.7894554336664501</v>
      </c>
      <c r="G32" s="5">
        <v>3921135.1468226602</v>
      </c>
      <c r="H32" s="5">
        <v>1.57125429235517</v>
      </c>
      <c r="I32" s="5">
        <v>1.21826520745815E-5</v>
      </c>
      <c r="J32" s="5">
        <v>3.3106536126859099E-5</v>
      </c>
      <c r="K32" s="5">
        <v>11690.7985685516</v>
      </c>
      <c r="L32" s="5">
        <v>-26658.8503441637</v>
      </c>
      <c r="M32" s="5">
        <v>1.0000239471430099</v>
      </c>
      <c r="N32" s="5">
        <v>-9.7029300622986197E-6</v>
      </c>
    </row>
    <row r="33" spans="1:12">
      <c r="A33" s="5" t="s">
        <v>23</v>
      </c>
      <c r="B33" s="5" t="s">
        <v>1</v>
      </c>
      <c r="C33" s="5" t="s">
        <v>2</v>
      </c>
      <c r="D33" s="5" t="s">
        <v>26</v>
      </c>
    </row>
    <row r="36" spans="1:12">
      <c r="A36" s="5" t="s">
        <v>0</v>
      </c>
      <c r="B36" s="5" t="s">
        <v>1</v>
      </c>
      <c r="C36" s="5" t="s">
        <v>2</v>
      </c>
      <c r="D36" s="5" t="s">
        <v>24</v>
      </c>
    </row>
    <row r="37" spans="1:12">
      <c r="A37" s="5" t="s">
        <v>3</v>
      </c>
      <c r="B37" s="5" t="s">
        <v>4</v>
      </c>
      <c r="C37" s="5" t="s">
        <v>2</v>
      </c>
      <c r="D37" s="5" t="s">
        <v>25</v>
      </c>
    </row>
    <row r="38" spans="1:12">
      <c r="A38" s="5" t="s">
        <v>5</v>
      </c>
      <c r="B38" s="5" t="s">
        <v>2</v>
      </c>
      <c r="C38" s="5" t="s">
        <v>6</v>
      </c>
    </row>
    <row r="39" spans="1:12">
      <c r="A39" s="5" t="s">
        <v>7</v>
      </c>
    </row>
    <row r="40" spans="1:12">
      <c r="B40" s="5" t="s">
        <v>8</v>
      </c>
      <c r="C40" s="5" t="s">
        <v>9</v>
      </c>
    </row>
    <row r="41" spans="1:12">
      <c r="B41" s="5" t="s">
        <v>10</v>
      </c>
      <c r="C41" s="5" t="s">
        <v>11</v>
      </c>
      <c r="D41" s="3" t="s">
        <v>70</v>
      </c>
    </row>
    <row r="42" spans="1:12">
      <c r="B42" s="5" t="s">
        <v>12</v>
      </c>
      <c r="C42" s="5" t="s">
        <v>13</v>
      </c>
      <c r="D42" s="3" t="s">
        <v>73</v>
      </c>
    </row>
    <row r="43" spans="1:12">
      <c r="B43" s="5" t="s">
        <v>14</v>
      </c>
      <c r="C43" s="5" t="s">
        <v>75</v>
      </c>
    </row>
    <row r="44" spans="1:12">
      <c r="B44" s="5" t="s">
        <v>15</v>
      </c>
      <c r="C44" s="5" t="s">
        <v>16</v>
      </c>
    </row>
    <row r="45" spans="1:12">
      <c r="B45" s="5" t="s">
        <v>17</v>
      </c>
      <c r="C45" s="5" t="s">
        <v>18</v>
      </c>
    </row>
    <row r="46" spans="1:12">
      <c r="A46" s="5" t="s">
        <v>19</v>
      </c>
    </row>
    <row r="47" spans="1:12">
      <c r="A47" s="5" t="s">
        <v>20</v>
      </c>
      <c r="B47" s="5">
        <v>3348000</v>
      </c>
      <c r="C47" s="5" t="s">
        <v>21</v>
      </c>
      <c r="D47" s="5" t="s">
        <v>22</v>
      </c>
      <c r="E47" s="5">
        <v>3423304</v>
      </c>
    </row>
    <row r="48" spans="1:12">
      <c r="A48" s="5">
        <v>1.19402117059958</v>
      </c>
      <c r="B48" s="5">
        <v>-1.0285529321107001</v>
      </c>
      <c r="C48" s="5">
        <v>10.440886814539899</v>
      </c>
      <c r="D48" s="5">
        <v>-1.3337197090931101</v>
      </c>
      <c r="E48" s="5">
        <v>1.8100306622711499</v>
      </c>
      <c r="F48" s="5">
        <v>-0.960468238194776</v>
      </c>
      <c r="G48" s="5">
        <v>4036347.8240183401</v>
      </c>
      <c r="H48" s="5">
        <v>-2.6666713226838099</v>
      </c>
      <c r="I48" s="5">
        <v>1.5123995330965601</v>
      </c>
      <c r="J48" s="5">
        <v>0.103130663499209</v>
      </c>
      <c r="K48" s="5">
        <v>91084.036411916502</v>
      </c>
      <c r="L48" s="5">
        <v>-375707.23387487099</v>
      </c>
    </row>
    <row r="49" spans="1:12">
      <c r="A49" s="5">
        <v>0.70535338144147797</v>
      </c>
      <c r="B49" s="5">
        <v>1.35841387234408</v>
      </c>
      <c r="C49" s="5">
        <v>10.380677352577299</v>
      </c>
      <c r="D49" s="5">
        <v>-1.18852167405248</v>
      </c>
      <c r="E49" s="5">
        <v>2.2805189248699</v>
      </c>
      <c r="F49" s="5">
        <v>0.16895353336423199</v>
      </c>
      <c r="G49" s="5">
        <v>4036342.9905613898</v>
      </c>
      <c r="H49" s="5">
        <v>-2.6666695327773802</v>
      </c>
      <c r="I49" s="5">
        <v>1.2032547394005</v>
      </c>
      <c r="J49" s="5">
        <v>-3.0009146365836799</v>
      </c>
      <c r="K49" s="5">
        <v>35973.2042837318</v>
      </c>
      <c r="L49" s="5">
        <v>-387164.70857748197</v>
      </c>
    </row>
    <row r="50" spans="1:12">
      <c r="A50" s="5">
        <v>0.86660041759749196</v>
      </c>
      <c r="B50" s="5">
        <v>-2.9611058382955302</v>
      </c>
      <c r="C50" s="5">
        <v>11.218459304028601</v>
      </c>
      <c r="D50" s="5">
        <v>-1.2313509985209401</v>
      </c>
      <c r="E50" s="5">
        <v>0.81045279114326196</v>
      </c>
      <c r="F50" s="5">
        <v>2.02327272574205</v>
      </c>
      <c r="G50" s="5">
        <v>4036354.20880546</v>
      </c>
      <c r="H50" s="5">
        <v>-2.66666938057771</v>
      </c>
      <c r="I50" s="5">
        <v>0.25124249834405499</v>
      </c>
      <c r="J50" s="5">
        <v>-0.90082944425516198</v>
      </c>
      <c r="K50" s="5">
        <v>48595.416975127198</v>
      </c>
      <c r="L50" s="5">
        <v>-356498.92271757498</v>
      </c>
    </row>
    <row r="51" spans="1:12">
      <c r="A51" s="5">
        <v>1.1768238240551701</v>
      </c>
      <c r="B51" s="5">
        <v>2.7698262117024899</v>
      </c>
      <c r="C51" s="5">
        <v>10.0462265052536</v>
      </c>
      <c r="D51" s="5">
        <v>-1.1298953411805901</v>
      </c>
      <c r="E51" s="5">
        <v>0.84748345970364503</v>
      </c>
      <c r="F51" s="5">
        <v>-2.8977802747210699</v>
      </c>
      <c r="G51" s="5">
        <v>4036392.22191033</v>
      </c>
      <c r="H51" s="5">
        <v>-2.6666709787572098</v>
      </c>
      <c r="I51" s="5">
        <v>0.58795448789395099</v>
      </c>
      <c r="J51" s="5">
        <v>0.41583402163886501</v>
      </c>
      <c r="K51" s="5">
        <v>13666.261401511099</v>
      </c>
      <c r="L51" s="5">
        <v>-401549.43452522001</v>
      </c>
    </row>
    <row r="52" spans="1:12">
      <c r="A52" s="5">
        <v>1.01608357493268</v>
      </c>
      <c r="B52" s="5">
        <v>-1.7239547168129601</v>
      </c>
      <c r="C52" s="5">
        <v>9.9215247252930894</v>
      </c>
      <c r="D52" s="5">
        <v>-1.38245149775633</v>
      </c>
      <c r="E52" s="5">
        <v>0.53674609688184105</v>
      </c>
      <c r="F52" s="5">
        <v>0.12173374893323401</v>
      </c>
      <c r="G52" s="5">
        <v>4036365.0367943901</v>
      </c>
      <c r="H52" s="5">
        <v>-2.6666713271615698</v>
      </c>
      <c r="I52" s="5">
        <v>-0.14338981815736401</v>
      </c>
      <c r="J52" s="5">
        <v>0.50841653092805295</v>
      </c>
      <c r="K52" s="5">
        <v>114998.385654132</v>
      </c>
      <c r="L52" s="5">
        <v>-390237.48282647203</v>
      </c>
    </row>
    <row r="53" spans="1:12">
      <c r="A53" s="5">
        <v>0.56171136462714699</v>
      </c>
      <c r="B53" s="5">
        <v>-1.1177770767330599</v>
      </c>
      <c r="C53" s="5">
        <v>56.730268959663697</v>
      </c>
      <c r="D53" s="5">
        <v>-2.2118779229755998</v>
      </c>
      <c r="E53" s="5">
        <v>4.0753870784567701</v>
      </c>
      <c r="F53" s="5">
        <v>-1.3632190068980501</v>
      </c>
      <c r="G53" s="5">
        <v>4060723.2413914199</v>
      </c>
      <c r="H53" s="5">
        <v>-2.7199110073573798</v>
      </c>
      <c r="I53" s="5">
        <v>7.0378634448462503</v>
      </c>
      <c r="J53" s="5">
        <v>-1.7629304485041399</v>
      </c>
      <c r="K53" s="5">
        <v>62539.209378486303</v>
      </c>
      <c r="L53" s="5">
        <v>-34820.532333269701</v>
      </c>
    </row>
    <row r="54" spans="1:12">
      <c r="A54" s="5">
        <v>1.5362645531758901</v>
      </c>
      <c r="B54" s="5">
        <v>-2.4607247438334099</v>
      </c>
      <c r="C54" s="5">
        <v>56.806387902172197</v>
      </c>
      <c r="D54" s="5">
        <v>-2.2092905638986</v>
      </c>
      <c r="E54" s="5">
        <v>5.5092087349342602</v>
      </c>
      <c r="F54" s="5">
        <v>-1.68528079095314</v>
      </c>
      <c r="G54" s="5">
        <v>4060824.07014518</v>
      </c>
      <c r="H54" s="5">
        <v>-2.7199121874247001</v>
      </c>
      <c r="I54" s="5">
        <v>2.5608758721699201</v>
      </c>
      <c r="J54" s="5">
        <v>2.5103937196888602</v>
      </c>
      <c r="K54" s="5">
        <v>62366.734486029498</v>
      </c>
      <c r="L54" s="5">
        <v>-34936.292854190397</v>
      </c>
    </row>
    <row r="55" spans="1:12">
      <c r="A55" s="5">
        <v>0.33028360477598401</v>
      </c>
      <c r="B55" s="5">
        <v>3.07008848848018</v>
      </c>
      <c r="C55" s="5">
        <v>55.800583819969702</v>
      </c>
      <c r="D55" s="5">
        <v>-2.2241999482554999</v>
      </c>
      <c r="E55" s="5">
        <v>3.60714557712677</v>
      </c>
      <c r="F55" s="5">
        <v>-1.6555897726536699</v>
      </c>
      <c r="G55" s="5">
        <v>4060817.7830057601</v>
      </c>
      <c r="H55" s="5">
        <v>-2.7199105498298302</v>
      </c>
      <c r="I55" s="5">
        <v>0.14513272421010401</v>
      </c>
      <c r="J55" s="5">
        <v>10.9203938969947</v>
      </c>
      <c r="K55" s="5">
        <v>64014.042081174201</v>
      </c>
      <c r="L55" s="5">
        <v>-34615.332240137301</v>
      </c>
    </row>
    <row r="56" spans="1:12">
      <c r="A56" s="5">
        <v>1.1796481506090899</v>
      </c>
      <c r="B56" s="5">
        <v>2.0884900135285598</v>
      </c>
      <c r="C56" s="5">
        <v>55.876908422779998</v>
      </c>
      <c r="D56" s="5">
        <v>-2.2072857084207902</v>
      </c>
      <c r="E56" s="5">
        <v>2.9444146015881598</v>
      </c>
      <c r="F56" s="5">
        <v>-1.7164621173629899</v>
      </c>
      <c r="G56" s="5">
        <v>4060791.9460189999</v>
      </c>
      <c r="H56" s="5">
        <v>-2.7199108101157101</v>
      </c>
      <c r="I56" s="5">
        <v>-1.9666769124341199</v>
      </c>
      <c r="J56" s="5">
        <v>1.5369619916063899</v>
      </c>
      <c r="K56" s="5">
        <v>63332.3817788835</v>
      </c>
      <c r="L56" s="5">
        <v>-35644.113046918399</v>
      </c>
    </row>
    <row r="57" spans="1:12">
      <c r="A57" s="5">
        <v>1.47546506802769</v>
      </c>
      <c r="B57" s="5">
        <v>-1.2519639067178301</v>
      </c>
      <c r="C57" s="5">
        <v>55.977530375245898</v>
      </c>
      <c r="D57" s="5">
        <v>-2.1675276862195898</v>
      </c>
      <c r="E57" s="5">
        <v>4.4826010358869501</v>
      </c>
      <c r="F57" s="5">
        <v>-1.55349623781959</v>
      </c>
      <c r="G57" s="5">
        <v>4060777.5764315901</v>
      </c>
      <c r="H57" s="5">
        <v>-2.71990900931783</v>
      </c>
      <c r="I57" s="5">
        <v>2.9010225480430698</v>
      </c>
      <c r="J57" s="5">
        <v>-0.90226444429559105</v>
      </c>
      <c r="K57" s="5">
        <v>61754.211567706399</v>
      </c>
      <c r="L57" s="5">
        <v>-38064.460341331098</v>
      </c>
    </row>
    <row r="58" spans="1:12">
      <c r="A58" s="5">
        <v>0.86842835930894602</v>
      </c>
      <c r="B58" s="5">
        <v>0.23434877056553599</v>
      </c>
      <c r="C58" s="5">
        <v>65.722340007642003</v>
      </c>
      <c r="D58" s="5">
        <v>-1.9335228037104799</v>
      </c>
      <c r="E58" s="5">
        <v>8.1231601323603098</v>
      </c>
      <c r="F58" s="5">
        <v>-1.1303899072766099</v>
      </c>
      <c r="G58" s="5">
        <v>4057166.5402272702</v>
      </c>
      <c r="H58" s="5">
        <v>-2.1090775750109501</v>
      </c>
      <c r="I58" s="5">
        <v>1.9138242649449899</v>
      </c>
      <c r="J58" s="5">
        <v>-9.1559835489157901</v>
      </c>
      <c r="K58" s="5">
        <v>60783.092433284502</v>
      </c>
      <c r="L58" s="5">
        <v>-10781.7528010355</v>
      </c>
    </row>
    <row r="59" spans="1:12">
      <c r="A59" s="5">
        <v>0.54121949085146304</v>
      </c>
      <c r="B59" s="5">
        <v>-2.3844982805011998</v>
      </c>
      <c r="C59" s="5">
        <v>65.945366724281797</v>
      </c>
      <c r="D59" s="5">
        <v>-1.92084904165623</v>
      </c>
      <c r="E59" s="5">
        <v>8.4320293909815707</v>
      </c>
      <c r="F59" s="5">
        <v>-1.2574805308801</v>
      </c>
      <c r="G59" s="5">
        <v>4057177.5215377999</v>
      </c>
      <c r="H59" s="5">
        <v>-2.1090717637963801</v>
      </c>
      <c r="I59" s="5">
        <v>6.6892172233658203</v>
      </c>
      <c r="J59" s="5">
        <v>14.070571047156999</v>
      </c>
      <c r="K59" s="5">
        <v>60436.710332243798</v>
      </c>
      <c r="L59" s="5">
        <v>-11511.8305587167</v>
      </c>
    </row>
    <row r="60" spans="1:12">
      <c r="A60" s="5">
        <v>0.297647119881917</v>
      </c>
      <c r="B60" s="5">
        <v>-2.6051062202421198</v>
      </c>
      <c r="C60" s="5">
        <v>64.606368554856004</v>
      </c>
      <c r="D60" s="5">
        <v>-1.9338662719301101</v>
      </c>
      <c r="E60" s="5">
        <v>8.0612860620906002</v>
      </c>
      <c r="F60" s="5">
        <v>-1.23339014015725</v>
      </c>
      <c r="G60" s="5">
        <v>4057164.6385539901</v>
      </c>
      <c r="H60" s="5">
        <v>-2.1090698691276901</v>
      </c>
      <c r="I60" s="5">
        <v>5.3562185699365301</v>
      </c>
      <c r="J60" s="5">
        <v>26.5484400380872</v>
      </c>
      <c r="K60" s="5">
        <v>61836.841796980501</v>
      </c>
      <c r="L60" s="5">
        <v>-10946.270334581301</v>
      </c>
    </row>
    <row r="61" spans="1:12">
      <c r="A61" s="5">
        <v>1.1976416863211301</v>
      </c>
      <c r="B61" s="5">
        <v>-2.2639235062874299</v>
      </c>
      <c r="C61" s="5">
        <v>65.633426978557594</v>
      </c>
      <c r="D61" s="5">
        <v>-1.9226427810971201</v>
      </c>
      <c r="E61" s="5">
        <v>8.3996376392159195</v>
      </c>
      <c r="F61" s="5">
        <v>-1.2907395370194199</v>
      </c>
      <c r="G61" s="5">
        <v>4057178.3648124002</v>
      </c>
      <c r="H61" s="5">
        <v>-2.1090752053845301</v>
      </c>
      <c r="I61" s="5">
        <v>3.9462773745892301</v>
      </c>
      <c r="J61" s="5">
        <v>5.7979147653167296</v>
      </c>
      <c r="K61" s="5">
        <v>60744.574202639502</v>
      </c>
      <c r="L61" s="5">
        <v>-11457.813438338801</v>
      </c>
    </row>
    <row r="62" spans="1:12">
      <c r="A62" s="5">
        <v>0.62988907911647596</v>
      </c>
      <c r="B62" s="5">
        <v>1.27834991333202</v>
      </c>
      <c r="C62" s="5">
        <v>65.179252801027602</v>
      </c>
      <c r="D62" s="5">
        <v>-1.9247483359673501</v>
      </c>
      <c r="E62" s="5">
        <v>8.6731498709020602</v>
      </c>
      <c r="F62" s="5">
        <v>-1.3395692393084799</v>
      </c>
      <c r="G62" s="5">
        <v>4057175.66917607</v>
      </c>
      <c r="H62" s="5">
        <v>-2.10907536153085</v>
      </c>
      <c r="I62" s="5">
        <v>-11.9240740869988</v>
      </c>
      <c r="J62" s="5">
        <v>-6.8855554760539901</v>
      </c>
      <c r="K62" s="5">
        <v>61191.962304272398</v>
      </c>
      <c r="L62" s="5">
        <v>-11408.8366227079</v>
      </c>
    </row>
    <row r="63" spans="1:12">
      <c r="A63" s="5">
        <v>0.56817402775969394</v>
      </c>
      <c r="B63" s="5">
        <v>-0.52876224352048096</v>
      </c>
      <c r="C63" s="5">
        <v>97.085613534670301</v>
      </c>
      <c r="D63" s="5">
        <v>2.2530117396916498E-2</v>
      </c>
      <c r="E63" s="5">
        <v>58.35242035868</v>
      </c>
      <c r="F63" s="5">
        <v>0.56870745721914095</v>
      </c>
      <c r="G63" s="5">
        <v>3920047.9184668302</v>
      </c>
      <c r="H63" s="5">
        <v>-0.88832091730360996</v>
      </c>
      <c r="I63" s="5">
        <v>46.816523339323901</v>
      </c>
      <c r="J63" s="5">
        <v>91.410315337187697</v>
      </c>
      <c r="K63" s="5">
        <v>24754.2136101699</v>
      </c>
      <c r="L63" s="5">
        <v>-31899.050465614</v>
      </c>
    </row>
    <row r="64" spans="1:12">
      <c r="A64" s="5">
        <v>0.93304064066098003</v>
      </c>
      <c r="B64" s="5">
        <v>0.29907434789125298</v>
      </c>
      <c r="C64" s="5">
        <v>98.591087356204</v>
      </c>
      <c r="D64" s="5">
        <v>3.6255390041300899E-2</v>
      </c>
      <c r="E64" s="5">
        <v>58.583554271155997</v>
      </c>
      <c r="F64" s="5">
        <v>0.57509369834366497</v>
      </c>
      <c r="G64" s="5">
        <v>3920114.54440971</v>
      </c>
      <c r="H64" s="5">
        <v>-0.88827046672160503</v>
      </c>
      <c r="I64" s="5">
        <v>60.411134344640601</v>
      </c>
      <c r="J64" s="5">
        <v>17.111419438025699</v>
      </c>
      <c r="K64" s="5">
        <v>23944.8080961374</v>
      </c>
      <c r="L64" s="5">
        <v>-31742.888469032601</v>
      </c>
    </row>
    <row r="65" spans="1:12">
      <c r="A65" s="5">
        <v>0.59148314209448105</v>
      </c>
      <c r="B65" s="5">
        <v>0.48929640547509401</v>
      </c>
      <c r="C65" s="5">
        <v>96.489485656520998</v>
      </c>
      <c r="D65" s="5">
        <v>1.48348260860312E-2</v>
      </c>
      <c r="E65" s="5">
        <v>57.793878676835298</v>
      </c>
      <c r="F65" s="5">
        <v>0.57954995102795803</v>
      </c>
      <c r="G65" s="5">
        <v>3920056.8488707002</v>
      </c>
      <c r="H65" s="5">
        <v>-0.88820356921130605</v>
      </c>
      <c r="I65" s="5">
        <v>97.312414249040899</v>
      </c>
      <c r="J65" s="5">
        <v>8.8067157031922996</v>
      </c>
      <c r="K65" s="5">
        <v>25157.1993104344</v>
      </c>
      <c r="L65" s="5">
        <v>-31900.632586637301</v>
      </c>
    </row>
    <row r="66" spans="1:12">
      <c r="A66" s="5">
        <v>0.68731923850392795</v>
      </c>
      <c r="B66" s="5">
        <v>-1.76306068479183</v>
      </c>
      <c r="C66" s="5">
        <v>98.692824341507105</v>
      </c>
      <c r="D66" s="5">
        <v>3.35637138850454E-2</v>
      </c>
      <c r="E66" s="5">
        <v>58.187953282744701</v>
      </c>
      <c r="F66" s="5">
        <v>0.56307293160556804</v>
      </c>
      <c r="G66" s="5">
        <v>3920068.33169124</v>
      </c>
      <c r="H66" s="5">
        <v>-0.88822019463100699</v>
      </c>
      <c r="I66" s="5">
        <v>-58.036838969111301</v>
      </c>
      <c r="J66" s="5">
        <v>61.635374279823601</v>
      </c>
      <c r="K66" s="5">
        <v>24006.699313426499</v>
      </c>
      <c r="L66" s="5">
        <v>-31644.0865682898</v>
      </c>
    </row>
    <row r="67" spans="1:12">
      <c r="A67" s="5">
        <v>0.21148451267954901</v>
      </c>
      <c r="B67" s="5">
        <v>-0.290429446523777</v>
      </c>
      <c r="C67" s="5">
        <v>96.812205673620895</v>
      </c>
      <c r="D67" s="5">
        <v>2.73935636921896E-2</v>
      </c>
      <c r="E67" s="5">
        <v>57.787219938352202</v>
      </c>
      <c r="F67" s="5">
        <v>0.58341856610923004</v>
      </c>
      <c r="G67" s="5">
        <v>3920138.6312168199</v>
      </c>
      <c r="H67" s="5">
        <v>-0.88821378075179402</v>
      </c>
      <c r="I67" s="5">
        <v>175.391081109776</v>
      </c>
      <c r="J67" s="5">
        <v>209.52600234410599</v>
      </c>
      <c r="K67" s="5">
        <v>24672.262576106499</v>
      </c>
      <c r="L67" s="5">
        <v>-32107.588650641599</v>
      </c>
    </row>
    <row r="68" spans="1:12">
      <c r="A68" s="5" t="s">
        <v>23</v>
      </c>
      <c r="B68" s="5" t="s">
        <v>1</v>
      </c>
      <c r="C68" s="5" t="s">
        <v>2</v>
      </c>
      <c r="D68" s="5" t="s">
        <v>26</v>
      </c>
    </row>
    <row r="72" spans="1:12">
      <c r="A72" s="5" t="s">
        <v>0</v>
      </c>
      <c r="B72" s="5" t="s">
        <v>1</v>
      </c>
      <c r="C72" s="5" t="s">
        <v>2</v>
      </c>
      <c r="D72" s="5" t="s">
        <v>24</v>
      </c>
    </row>
    <row r="73" spans="1:12">
      <c r="A73" s="5" t="s">
        <v>3</v>
      </c>
      <c r="B73" s="5" t="s">
        <v>4</v>
      </c>
      <c r="C73" s="5" t="s">
        <v>2</v>
      </c>
      <c r="D73" s="5" t="s">
        <v>25</v>
      </c>
    </row>
    <row r="74" spans="1:12">
      <c r="A74" s="5" t="s">
        <v>5</v>
      </c>
      <c r="B74" s="5" t="s">
        <v>2</v>
      </c>
      <c r="C74" s="5" t="s">
        <v>6</v>
      </c>
    </row>
    <row r="75" spans="1:12">
      <c r="A75" s="5" t="s">
        <v>7</v>
      </c>
    </row>
    <row r="76" spans="1:12">
      <c r="B76" s="5" t="s">
        <v>8</v>
      </c>
      <c r="C76" s="5" t="s">
        <v>9</v>
      </c>
    </row>
    <row r="77" spans="1:12">
      <c r="B77" s="5" t="s">
        <v>10</v>
      </c>
      <c r="C77" s="5" t="s">
        <v>11</v>
      </c>
      <c r="D77" s="3" t="s">
        <v>72</v>
      </c>
    </row>
    <row r="78" spans="1:12">
      <c r="B78" s="5" t="s">
        <v>12</v>
      </c>
      <c r="C78" s="5" t="s">
        <v>13</v>
      </c>
      <c r="D78" s="3" t="s">
        <v>71</v>
      </c>
    </row>
    <row r="79" spans="1:12">
      <c r="B79" s="5" t="s">
        <v>14</v>
      </c>
      <c r="C79" s="5" t="s">
        <v>74</v>
      </c>
    </row>
    <row r="80" spans="1:12">
      <c r="B80" s="5" t="s">
        <v>15</v>
      </c>
      <c r="C80" s="5" t="s">
        <v>16</v>
      </c>
    </row>
    <row r="81" spans="1:12">
      <c r="B81" s="5" t="s">
        <v>17</v>
      </c>
      <c r="C81" s="5" t="s">
        <v>18</v>
      </c>
    </row>
    <row r="82" spans="1:12">
      <c r="A82" s="5" t="s">
        <v>19</v>
      </c>
    </row>
    <row r="83" spans="1:12">
      <c r="A83" s="5" t="s">
        <v>20</v>
      </c>
      <c r="B83" s="5">
        <v>3348000</v>
      </c>
      <c r="C83" s="5" t="s">
        <v>21</v>
      </c>
      <c r="D83" s="5" t="s">
        <v>22</v>
      </c>
      <c r="E83" s="5">
        <v>3372383</v>
      </c>
    </row>
    <row r="84" spans="1:12">
      <c r="A84" s="5">
        <v>4036437.7442625901</v>
      </c>
      <c r="B84" s="5">
        <v>-2.95926373101429</v>
      </c>
      <c r="C84" s="5">
        <v>0.93912881557216299</v>
      </c>
      <c r="D84" s="5">
        <v>-2.7319570847654302</v>
      </c>
      <c r="E84" s="5">
        <v>7.50582609596038</v>
      </c>
      <c r="F84" s="5">
        <v>-1.7706709790071999</v>
      </c>
      <c r="G84" s="5">
        <v>1.4475900496776599</v>
      </c>
      <c r="H84" s="5">
        <v>-0.307190384631083</v>
      </c>
      <c r="I84" s="5">
        <v>6.9353666070912202E-7</v>
      </c>
      <c r="J84" s="5">
        <v>1.72534395045013E-6</v>
      </c>
      <c r="K84" s="5">
        <v>-1.1620670926668599</v>
      </c>
      <c r="L84" s="5">
        <v>1.0127040470314801</v>
      </c>
    </row>
    <row r="85" spans="1:12">
      <c r="A85" s="5">
        <v>4036433.6399246599</v>
      </c>
      <c r="B85" s="5">
        <v>-2.9592643349660199</v>
      </c>
      <c r="C85" s="5">
        <v>0.94329166503165995</v>
      </c>
      <c r="D85" s="5">
        <v>-1.59780752050025</v>
      </c>
      <c r="E85" s="5">
        <v>8.5622818181117903</v>
      </c>
      <c r="F85" s="5">
        <v>-1.5674897347927499</v>
      </c>
      <c r="G85" s="5">
        <v>0.51804995099862094</v>
      </c>
      <c r="H85" s="5">
        <v>0.95766403828987201</v>
      </c>
      <c r="I85" s="5">
        <v>3.7772453165587201E-7</v>
      </c>
      <c r="J85" s="5">
        <v>2.0873482088240901E-6</v>
      </c>
      <c r="K85" s="5">
        <v>-0.457529247648644</v>
      </c>
      <c r="L85" s="5">
        <v>0.30377761152942701</v>
      </c>
    </row>
    <row r="86" spans="1:12">
      <c r="A86" s="5">
        <v>4036445.6343705398</v>
      </c>
      <c r="B86" s="5">
        <v>-2.9592648486859399</v>
      </c>
      <c r="C86" s="5">
        <v>0.71027021606695395</v>
      </c>
      <c r="D86" s="5">
        <v>-0.77186162763829003</v>
      </c>
      <c r="E86" s="5">
        <v>7.6346946031411296</v>
      </c>
      <c r="F86" s="5">
        <v>-1.5577003355874599</v>
      </c>
      <c r="G86" s="5">
        <v>0.913836557852027</v>
      </c>
      <c r="H86" s="5">
        <v>-2.0828195619785799</v>
      </c>
      <c r="I86" s="5">
        <v>3.1856612944041802E-7</v>
      </c>
      <c r="J86" s="5">
        <v>1.86441968860343E-6</v>
      </c>
      <c r="K86" s="5">
        <v>0.33055994605355599</v>
      </c>
      <c r="L86" s="5">
        <v>-1.24341472589994</v>
      </c>
    </row>
    <row r="87" spans="1:12">
      <c r="A87" s="5">
        <v>4036443.3918182901</v>
      </c>
      <c r="B87" s="5">
        <v>-2.9592649317449702</v>
      </c>
      <c r="C87" s="5">
        <v>0.45780732642753502</v>
      </c>
      <c r="D87" s="5">
        <v>-0.83202509127150004</v>
      </c>
      <c r="E87" s="5">
        <v>8.4014755928265998</v>
      </c>
      <c r="F87" s="5">
        <v>-1.66169459103094</v>
      </c>
      <c r="G87" s="5">
        <v>1.4083507293368001</v>
      </c>
      <c r="H87" s="5">
        <v>0.94781600066917004</v>
      </c>
      <c r="I87" s="5">
        <v>5.6164470883732904E-7</v>
      </c>
      <c r="J87" s="5">
        <v>2.0041966462337901E-6</v>
      </c>
      <c r="K87" s="5">
        <v>-0.63840998341922095</v>
      </c>
      <c r="L87" s="5">
        <v>3.0093235436851402</v>
      </c>
    </row>
    <row r="88" spans="1:12">
      <c r="A88" s="5">
        <v>4036452.53187095</v>
      </c>
      <c r="B88" s="5">
        <v>-2.9592647924772799</v>
      </c>
      <c r="C88" s="5">
        <v>0.77535717204313803</v>
      </c>
      <c r="D88" s="5">
        <v>-2.9874875438685899</v>
      </c>
      <c r="E88" s="5">
        <v>9.3811003510547994</v>
      </c>
      <c r="F88" s="5">
        <v>-1.46016613191819</v>
      </c>
      <c r="G88" s="5">
        <v>0.83493332596258396</v>
      </c>
      <c r="H88" s="5">
        <v>2.5809329759166699</v>
      </c>
      <c r="I88" s="5">
        <v>1.6648948200404001E-7</v>
      </c>
      <c r="J88" s="5">
        <v>2.3181242865456498E-6</v>
      </c>
      <c r="K88" s="5">
        <v>0.81327841055331396</v>
      </c>
      <c r="L88" s="5">
        <v>-0.70580184783866196</v>
      </c>
    </row>
    <row r="89" spans="1:12">
      <c r="A89" s="5">
        <v>4060876.8227085699</v>
      </c>
      <c r="B89" s="5">
        <v>0.63758109271554497</v>
      </c>
      <c r="C89" s="5">
        <v>4.0464580460966104</v>
      </c>
      <c r="D89" s="5">
        <v>1.6355308335544601</v>
      </c>
      <c r="E89" s="5">
        <v>46.981078894175397</v>
      </c>
      <c r="F89" s="5">
        <v>1.1406127349627699</v>
      </c>
      <c r="G89" s="5">
        <v>0.29281262457891299</v>
      </c>
      <c r="H89" s="5">
        <v>1.77063235247787</v>
      </c>
      <c r="I89" s="5">
        <v>1.01360626078494E-5</v>
      </c>
      <c r="J89" s="5">
        <v>5.5773224042175701E-6</v>
      </c>
      <c r="K89" s="5">
        <v>7.1703305422599298E-2</v>
      </c>
      <c r="L89" s="5">
        <v>9.7465974221689206E-3</v>
      </c>
    </row>
    <row r="90" spans="1:12">
      <c r="A90" s="5">
        <v>4060885.18209612</v>
      </c>
      <c r="B90" s="5">
        <v>0.63758020301278095</v>
      </c>
      <c r="C90" s="5">
        <v>3.7572376676219599</v>
      </c>
      <c r="D90" s="5">
        <v>1.3990743920201201</v>
      </c>
      <c r="E90" s="5">
        <v>45.919166793319697</v>
      </c>
      <c r="F90" s="5">
        <v>1.17095469901774</v>
      </c>
      <c r="G90" s="5">
        <v>0.86230474307231997</v>
      </c>
      <c r="H90" s="5">
        <v>0.44058844009815001</v>
      </c>
      <c r="I90" s="5">
        <v>9.73699578880313E-6</v>
      </c>
      <c r="J90" s="5">
        <v>5.7492964685662496E-6</v>
      </c>
      <c r="K90" s="5">
        <v>0.13191019399304399</v>
      </c>
      <c r="L90" s="5">
        <v>-0.18780903869398399</v>
      </c>
    </row>
    <row r="91" spans="1:12">
      <c r="A91" s="5">
        <v>4060884.7981508202</v>
      </c>
      <c r="B91" s="5">
        <v>0.63758042687604899</v>
      </c>
      <c r="C91" s="5">
        <v>3.2988969392810401</v>
      </c>
      <c r="D91" s="5">
        <v>0.98288185498121505</v>
      </c>
      <c r="E91" s="5">
        <v>46.071161727052697</v>
      </c>
      <c r="F91" s="5">
        <v>1.23156689815117</v>
      </c>
      <c r="G91" s="5">
        <v>1.29604899422919</v>
      </c>
      <c r="H91" s="5">
        <v>-0.223127430009395</v>
      </c>
      <c r="I91" s="5">
        <v>9.4018713572157502E-6</v>
      </c>
      <c r="J91" s="5">
        <v>6.3495044965931799E-6</v>
      </c>
      <c r="K91" s="5">
        <v>0.14015774059826899</v>
      </c>
      <c r="L91" s="5">
        <v>-0.36702227305038299</v>
      </c>
    </row>
    <row r="92" spans="1:12">
      <c r="A92" s="5">
        <v>4060901.3469284298</v>
      </c>
      <c r="B92" s="5">
        <v>0.63758099813128399</v>
      </c>
      <c r="C92" s="5">
        <v>2.4070104799740499</v>
      </c>
      <c r="D92" s="5">
        <v>1.4839314420192999</v>
      </c>
      <c r="E92" s="5">
        <v>48.295361814223703</v>
      </c>
      <c r="F92" s="5">
        <v>1.19291938827859</v>
      </c>
      <c r="G92" s="5">
        <v>2.1606723302603901</v>
      </c>
      <c r="H92" s="5">
        <v>-0.37510508236374601</v>
      </c>
      <c r="I92" s="5">
        <v>1.0105548436225E-5</v>
      </c>
      <c r="J92" s="5">
        <v>6.2702349435747203E-6</v>
      </c>
      <c r="K92" s="5">
        <v>-0.25517318106001502</v>
      </c>
      <c r="L92" s="5">
        <v>-0.86062571409995003</v>
      </c>
    </row>
    <row r="93" spans="1:12">
      <c r="A93" s="5">
        <v>4060908.1386231598</v>
      </c>
      <c r="B93" s="5">
        <v>0.63758054682562904</v>
      </c>
      <c r="C93" s="5">
        <v>2.7033890896700701</v>
      </c>
      <c r="D93" s="5">
        <v>1.8773911060742201</v>
      </c>
      <c r="E93" s="5">
        <v>48.951159919505699</v>
      </c>
      <c r="F93" s="5">
        <v>1.17329500240574</v>
      </c>
      <c r="G93" s="5">
        <v>1.4761772500429799</v>
      </c>
      <c r="H93" s="5">
        <v>-1.5408710770515801</v>
      </c>
      <c r="I93" s="5">
        <v>1.03654907160312E-5</v>
      </c>
      <c r="J93" s="5">
        <v>6.1531533276590903E-6</v>
      </c>
      <c r="K93" s="5">
        <v>-0.525281016366272</v>
      </c>
      <c r="L93" s="5">
        <v>0.14915454458642899</v>
      </c>
    </row>
    <row r="94" spans="1:12">
      <c r="A94" s="5">
        <v>4057278.1252840199</v>
      </c>
      <c r="B94" s="5">
        <v>5.3650328827029997E-2</v>
      </c>
      <c r="C94" s="5">
        <v>5.2657439915072199</v>
      </c>
      <c r="D94" s="5">
        <v>1.25193965164926</v>
      </c>
      <c r="E94" s="5">
        <v>55.4471735186697</v>
      </c>
      <c r="F94" s="5">
        <v>0.25627373270960002</v>
      </c>
      <c r="G94" s="5">
        <v>0.90100849136677197</v>
      </c>
      <c r="H94" s="5">
        <v>1.1117706128018101</v>
      </c>
      <c r="I94" s="5">
        <v>1.3386520335502199E-5</v>
      </c>
      <c r="J94" s="5">
        <v>2.7501628558031702E-6</v>
      </c>
      <c r="K94" s="5">
        <v>0.169429382892893</v>
      </c>
      <c r="L94" s="5">
        <v>-2.3905519313542699E-2</v>
      </c>
    </row>
    <row r="95" spans="1:12">
      <c r="A95" s="5">
        <v>4057262.8336847099</v>
      </c>
      <c r="B95" s="5">
        <v>5.3657202349282403E-2</v>
      </c>
      <c r="C95" s="5">
        <v>5.8049394303370399</v>
      </c>
      <c r="D95" s="5">
        <v>1.11693259374871</v>
      </c>
      <c r="E95" s="5">
        <v>55.740342391544502</v>
      </c>
      <c r="F95" s="5">
        <v>0.24261529736038301</v>
      </c>
      <c r="G95" s="5">
        <v>0.63783922277570204</v>
      </c>
      <c r="H95" s="5">
        <v>1.7578933061348601</v>
      </c>
      <c r="I95" s="5">
        <v>1.3493873338496599E-5</v>
      </c>
      <c r="J95" s="5">
        <v>2.58056309857923E-6</v>
      </c>
      <c r="K95" s="5">
        <v>8.8070160842442E-2</v>
      </c>
      <c r="L95" s="5">
        <v>6.5703701675301707E-2</v>
      </c>
    </row>
    <row r="96" spans="1:12">
      <c r="A96" s="5">
        <v>4057301.35522909</v>
      </c>
      <c r="B96" s="5">
        <v>5.3655355811456099E-2</v>
      </c>
      <c r="C96" s="5">
        <v>5.3667000257674298</v>
      </c>
      <c r="D96" s="5">
        <v>1.07639650651292</v>
      </c>
      <c r="E96" s="5">
        <v>56.3693606177319</v>
      </c>
      <c r="F96" s="5">
        <v>0.25356096840348802</v>
      </c>
      <c r="G96" s="5">
        <v>1.1158674107973301</v>
      </c>
      <c r="H96" s="5">
        <v>1.0202289117880801</v>
      </c>
      <c r="I96" s="5">
        <v>1.36166329055367E-5</v>
      </c>
      <c r="J96" s="5">
        <v>2.7588901144979701E-6</v>
      </c>
      <c r="K96" s="5">
        <v>0.207596418585101</v>
      </c>
      <c r="L96" s="5">
        <v>-1.16724688509949E-2</v>
      </c>
    </row>
    <row r="97" spans="1:12">
      <c r="A97" s="5">
        <v>4057298.9648870402</v>
      </c>
      <c r="B97" s="5">
        <v>5.3659837207095502E-2</v>
      </c>
      <c r="C97" s="5">
        <v>3.8755392828858199</v>
      </c>
      <c r="D97" s="5">
        <v>1.0046441565690301</v>
      </c>
      <c r="E97" s="5">
        <v>55.670629376512998</v>
      </c>
      <c r="F97" s="5">
        <v>0.24887462883889799</v>
      </c>
      <c r="G97" s="5">
        <v>0.37384009286516101</v>
      </c>
      <c r="H97" s="5">
        <v>0.88066722227194405</v>
      </c>
      <c r="I97" s="5">
        <v>1.3460487739530701E-5</v>
      </c>
      <c r="J97" s="5">
        <v>2.6615824367922501E-6</v>
      </c>
      <c r="K97" s="5">
        <v>9.57210675276393E-2</v>
      </c>
      <c r="L97" s="5">
        <v>-1.1928381402659199E-2</v>
      </c>
    </row>
    <row r="98" spans="1:12">
      <c r="A98" s="5">
        <v>4057333.8536540801</v>
      </c>
      <c r="B98" s="5">
        <v>5.3664986425603599E-2</v>
      </c>
      <c r="C98" s="5">
        <v>5.76392811760351</v>
      </c>
      <c r="D98" s="5">
        <v>1.08072916709731</v>
      </c>
      <c r="E98" s="5">
        <v>55.078667682270599</v>
      </c>
      <c r="F98" s="5">
        <v>0.24730228336616999</v>
      </c>
      <c r="G98" s="5">
        <v>0.816896062111928</v>
      </c>
      <c r="H98" s="5">
        <v>0.27131869432391198</v>
      </c>
      <c r="I98" s="5">
        <v>1.3321381395285899E-5</v>
      </c>
      <c r="J98" s="5">
        <v>2.6122472780852801E-6</v>
      </c>
      <c r="K98" s="5">
        <v>9.7780064102317904E-2</v>
      </c>
      <c r="L98" s="5">
        <v>-0.102592394520209</v>
      </c>
    </row>
    <row r="99" spans="1:12">
      <c r="A99" s="5">
        <v>3920017.6975752101</v>
      </c>
      <c r="B99" s="5">
        <v>1.85233806307431</v>
      </c>
      <c r="C99" s="5">
        <v>46.296238702917101</v>
      </c>
      <c r="D99" s="5">
        <v>-2.92207530082589</v>
      </c>
      <c r="E99" s="5">
        <v>86.870425950043796</v>
      </c>
      <c r="F99" s="5">
        <v>2.8257331230630101</v>
      </c>
      <c r="G99" s="5">
        <v>0.26513625253334899</v>
      </c>
      <c r="H99" s="5">
        <v>2.84584517564838</v>
      </c>
      <c r="I99" s="5">
        <v>1.24653122722466E-5</v>
      </c>
      <c r="J99" s="5">
        <v>1.8322489713573799E-5</v>
      </c>
      <c r="K99" s="5">
        <v>4.9833758731593E-3</v>
      </c>
      <c r="L99" s="5">
        <v>-2.8220423918161501E-3</v>
      </c>
    </row>
    <row r="100" spans="1:12">
      <c r="A100" s="5">
        <v>3919956.3559609898</v>
      </c>
      <c r="B100" s="5">
        <v>1.85231549902016</v>
      </c>
      <c r="C100" s="5">
        <v>47.168249855624097</v>
      </c>
      <c r="D100" s="5">
        <v>-2.90289761407174</v>
      </c>
      <c r="E100" s="5">
        <v>86.821055476227201</v>
      </c>
      <c r="F100" s="5">
        <v>2.8118016395590599</v>
      </c>
      <c r="G100" s="5">
        <v>0.91816455726742396</v>
      </c>
      <c r="H100" s="5">
        <v>0.21035127721025901</v>
      </c>
      <c r="I100" s="5">
        <v>1.2711914800252799E-5</v>
      </c>
      <c r="J100" s="5">
        <v>1.8137314254067399E-5</v>
      </c>
      <c r="K100" s="5">
        <v>-1.94579144309871E-2</v>
      </c>
      <c r="L100" s="5">
        <v>5.5165823789996601E-4</v>
      </c>
    </row>
    <row r="101" spans="1:12">
      <c r="A101" s="5">
        <v>3919954.6712005301</v>
      </c>
      <c r="B101" s="5">
        <v>1.8522886055693799</v>
      </c>
      <c r="C101" s="5">
        <v>47.254123459141098</v>
      </c>
      <c r="D101" s="5">
        <v>-2.89705883636534</v>
      </c>
      <c r="E101" s="5">
        <v>86.3243023141397</v>
      </c>
      <c r="F101" s="5">
        <v>2.8106623117352201</v>
      </c>
      <c r="G101" s="5">
        <v>1.0847496745062499</v>
      </c>
      <c r="H101" s="5">
        <v>2.5383651404358498</v>
      </c>
      <c r="I101" s="5">
        <v>1.2659241375197501E-5</v>
      </c>
      <c r="J101" s="5">
        <v>1.80194765820616E-5</v>
      </c>
      <c r="K101" s="5">
        <v>1.51889202696938E-2</v>
      </c>
      <c r="L101" s="5">
        <v>-1.7212179045790001E-2</v>
      </c>
    </row>
    <row r="102" spans="1:12">
      <c r="A102" s="5">
        <v>3920010.4023214299</v>
      </c>
      <c r="B102" s="5">
        <v>1.8522478635957</v>
      </c>
      <c r="C102" s="5">
        <v>47.9330811694009</v>
      </c>
      <c r="D102" s="5">
        <v>-2.93448306426601</v>
      </c>
      <c r="E102" s="5">
        <v>86.803137160666793</v>
      </c>
      <c r="F102" s="5">
        <v>2.8226162347461101</v>
      </c>
      <c r="G102" s="5">
        <v>1.3022678724980801</v>
      </c>
      <c r="H102" s="5">
        <v>2.6116503944025098</v>
      </c>
      <c r="I102" s="5">
        <v>1.2511036456772699E-5</v>
      </c>
      <c r="J102" s="5">
        <v>1.82705481353977E-5</v>
      </c>
      <c r="K102" s="5">
        <v>2.0116972546336199E-2</v>
      </c>
      <c r="L102" s="5">
        <v>-1.8260133942221899E-2</v>
      </c>
    </row>
    <row r="103" spans="1:12">
      <c r="A103" s="5">
        <v>3919959.0526024499</v>
      </c>
      <c r="B103" s="5">
        <v>1.8522395615448599</v>
      </c>
      <c r="C103" s="5">
        <v>47.258592386619597</v>
      </c>
      <c r="D103" s="5">
        <v>-2.93133745919127</v>
      </c>
      <c r="E103" s="5">
        <v>87.476678807557704</v>
      </c>
      <c r="F103" s="5">
        <v>2.8268118138290399</v>
      </c>
      <c r="G103" s="5">
        <v>0.37126260847017001</v>
      </c>
      <c r="H103" s="5">
        <v>-2.6258885367400602</v>
      </c>
      <c r="I103" s="5">
        <v>1.2530764565120399E-5</v>
      </c>
      <c r="J103" s="5">
        <v>1.84653989664556E-5</v>
      </c>
      <c r="K103" s="5">
        <v>7.4923438221278097E-3</v>
      </c>
      <c r="L103" s="5">
        <v>2.362461227362E-3</v>
      </c>
    </row>
    <row r="104" spans="1:12">
      <c r="A104" s="5" t="s">
        <v>23</v>
      </c>
      <c r="B104" s="5" t="s">
        <v>1</v>
      </c>
      <c r="C104" s="5" t="s">
        <v>2</v>
      </c>
      <c r="D104" s="5" t="s">
        <v>26</v>
      </c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15Meg1</vt:lpstr>
      <vt:lpstr>Cal1</vt:lpstr>
      <vt:lpstr>Cal2</vt:lpstr>
      <vt:lpstr>15Meg2</vt:lpstr>
      <vt:lpstr>TimeConst1</vt:lpstr>
      <vt:lpstr>TimeConst2</vt:lpstr>
      <vt:lpstr>TimeConst3</vt:lpstr>
      <vt:lpstr>TimeConst4</vt:lpstr>
      <vt:lpstr>TimeConst5</vt:lpstr>
      <vt:lpstr>TimeConst6</vt:lpstr>
      <vt:lpstr>CrossTalk</vt:lpstr>
    </vt:vector>
  </TitlesOfParts>
  <Company>Crystal Lake Designs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Williamsen</dc:creator>
  <cp:lastModifiedBy>Mark Williamsen</cp:lastModifiedBy>
  <dcterms:created xsi:type="dcterms:W3CDTF">2025-06-26T18:30:54Z</dcterms:created>
  <dcterms:modified xsi:type="dcterms:W3CDTF">2025-07-04T19:34:45Z</dcterms:modified>
</cp:coreProperties>
</file>