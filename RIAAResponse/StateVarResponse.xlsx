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340" yWindow="160" windowWidth="25600" windowHeight="18380" tabRatio="500"/>
  </bookViews>
  <sheets>
    <sheet name="Measured RIAA Response" sheetId="1" r:id="rId1"/>
    <sheet name="RIAADeemphasisChart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T80" i="1" l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80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80" i="1"/>
  <c r="N81" i="1"/>
  <c r="O81" i="1"/>
  <c r="P81" i="1"/>
  <c r="Q81" i="1"/>
  <c r="N82" i="1"/>
  <c r="O82" i="1"/>
  <c r="P82" i="1"/>
  <c r="Q82" i="1"/>
  <c r="N83" i="1"/>
  <c r="O83" i="1"/>
  <c r="P83" i="1"/>
  <c r="Q83" i="1"/>
  <c r="N84" i="1"/>
  <c r="O84" i="1"/>
  <c r="P84" i="1"/>
  <c r="Q84" i="1"/>
  <c r="N85" i="1"/>
  <c r="O85" i="1"/>
  <c r="P85" i="1"/>
  <c r="Q85" i="1"/>
  <c r="N86" i="1"/>
  <c r="O86" i="1"/>
  <c r="P86" i="1"/>
  <c r="Q86" i="1"/>
  <c r="N87" i="1"/>
  <c r="O87" i="1"/>
  <c r="P87" i="1"/>
  <c r="Q87" i="1"/>
  <c r="N88" i="1"/>
  <c r="O88" i="1"/>
  <c r="P88" i="1"/>
  <c r="Q88" i="1"/>
  <c r="N89" i="1"/>
  <c r="O89" i="1"/>
  <c r="P89" i="1"/>
  <c r="Q89" i="1"/>
  <c r="N90" i="1"/>
  <c r="O90" i="1"/>
  <c r="P90" i="1"/>
  <c r="Q90" i="1"/>
  <c r="N91" i="1"/>
  <c r="O91" i="1"/>
  <c r="P91" i="1"/>
  <c r="Q91" i="1"/>
  <c r="N92" i="1"/>
  <c r="O92" i="1"/>
  <c r="P92" i="1"/>
  <c r="Q92" i="1"/>
  <c r="N93" i="1"/>
  <c r="O93" i="1"/>
  <c r="P93" i="1"/>
  <c r="Q93" i="1"/>
  <c r="N94" i="1"/>
  <c r="O94" i="1"/>
  <c r="P94" i="1"/>
  <c r="Q94" i="1"/>
  <c r="N95" i="1"/>
  <c r="O95" i="1"/>
  <c r="P95" i="1"/>
  <c r="Q95" i="1"/>
  <c r="N96" i="1"/>
  <c r="O96" i="1"/>
  <c r="P96" i="1"/>
  <c r="Q96" i="1"/>
  <c r="N97" i="1"/>
  <c r="O97" i="1"/>
  <c r="P97" i="1"/>
  <c r="Q97" i="1"/>
  <c r="N98" i="1"/>
  <c r="O98" i="1"/>
  <c r="P98" i="1"/>
  <c r="Q98" i="1"/>
  <c r="N99" i="1"/>
  <c r="O99" i="1"/>
  <c r="P99" i="1"/>
  <c r="Q99" i="1"/>
  <c r="N100" i="1"/>
  <c r="O100" i="1"/>
  <c r="P100" i="1"/>
  <c r="Q100" i="1"/>
  <c r="N101" i="1"/>
  <c r="O101" i="1"/>
  <c r="P101" i="1"/>
  <c r="Q101" i="1"/>
  <c r="N102" i="1"/>
  <c r="O102" i="1"/>
  <c r="P102" i="1"/>
  <c r="Q102" i="1"/>
  <c r="N103" i="1"/>
  <c r="O103" i="1"/>
  <c r="P103" i="1"/>
  <c r="Q103" i="1"/>
  <c r="N104" i="1"/>
  <c r="O104" i="1"/>
  <c r="P104" i="1"/>
  <c r="Q104" i="1"/>
  <c r="N105" i="1"/>
  <c r="O105" i="1"/>
  <c r="P105" i="1"/>
  <c r="Q105" i="1"/>
  <c r="N106" i="1"/>
  <c r="O106" i="1"/>
  <c r="P106" i="1"/>
  <c r="Q106" i="1"/>
  <c r="N107" i="1"/>
  <c r="O107" i="1"/>
  <c r="P107" i="1"/>
  <c r="Q107" i="1"/>
  <c r="N108" i="1"/>
  <c r="O108" i="1"/>
  <c r="P108" i="1"/>
  <c r="Q108" i="1"/>
  <c r="N109" i="1"/>
  <c r="O109" i="1"/>
  <c r="P109" i="1"/>
  <c r="Q109" i="1"/>
  <c r="N110" i="1"/>
  <c r="O110" i="1"/>
  <c r="P110" i="1"/>
  <c r="Q110" i="1"/>
  <c r="O80" i="1"/>
  <c r="P80" i="1"/>
  <c r="Q80" i="1"/>
  <c r="N80" i="1"/>
  <c r="J81" i="1"/>
  <c r="L81" i="1"/>
  <c r="J82" i="1"/>
  <c r="L82" i="1"/>
  <c r="J83" i="1"/>
  <c r="L83" i="1"/>
  <c r="J84" i="1"/>
  <c r="L84" i="1"/>
  <c r="J85" i="1"/>
  <c r="L85" i="1"/>
  <c r="J86" i="1"/>
  <c r="L86" i="1"/>
  <c r="J87" i="1"/>
  <c r="L87" i="1"/>
  <c r="J88" i="1"/>
  <c r="L88" i="1"/>
  <c r="J89" i="1"/>
  <c r="L89" i="1"/>
  <c r="J90" i="1"/>
  <c r="L90" i="1"/>
  <c r="J91" i="1"/>
  <c r="L91" i="1"/>
  <c r="J92" i="1"/>
  <c r="L92" i="1"/>
  <c r="J93" i="1"/>
  <c r="L93" i="1"/>
  <c r="J94" i="1"/>
  <c r="L94" i="1"/>
  <c r="J95" i="1"/>
  <c r="L95" i="1"/>
  <c r="J96" i="1"/>
  <c r="L96" i="1"/>
  <c r="J97" i="1"/>
  <c r="L97" i="1"/>
  <c r="J98" i="1"/>
  <c r="L98" i="1"/>
  <c r="J99" i="1"/>
  <c r="L99" i="1"/>
  <c r="J100" i="1"/>
  <c r="L100" i="1"/>
  <c r="J101" i="1"/>
  <c r="L101" i="1"/>
  <c r="J102" i="1"/>
  <c r="L102" i="1"/>
  <c r="J103" i="1"/>
  <c r="L103" i="1"/>
  <c r="J104" i="1"/>
  <c r="L104" i="1"/>
  <c r="J105" i="1"/>
  <c r="L105" i="1"/>
  <c r="J106" i="1"/>
  <c r="L106" i="1"/>
  <c r="J107" i="1"/>
  <c r="L107" i="1"/>
  <c r="J108" i="1"/>
  <c r="L108" i="1"/>
  <c r="J109" i="1"/>
  <c r="L109" i="1"/>
  <c r="J110" i="1"/>
  <c r="L110" i="1"/>
  <c r="L80" i="1"/>
  <c r="J80" i="1"/>
  <c r="N14" i="1"/>
  <c r="O14" i="1"/>
  <c r="P14" i="1"/>
  <c r="Q14" i="1"/>
  <c r="N15" i="1"/>
  <c r="O15" i="1"/>
  <c r="P15" i="1"/>
  <c r="Q15" i="1"/>
  <c r="N16" i="1"/>
  <c r="O16" i="1"/>
  <c r="P16" i="1"/>
  <c r="Q16" i="1"/>
  <c r="N17" i="1"/>
  <c r="O17" i="1"/>
  <c r="P17" i="1"/>
  <c r="Q17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O27" i="1"/>
  <c r="P27" i="1"/>
  <c r="Q27" i="1"/>
  <c r="N28" i="1"/>
  <c r="O28" i="1"/>
  <c r="P28" i="1"/>
  <c r="Q28" i="1"/>
  <c r="N29" i="1"/>
  <c r="O29" i="1"/>
  <c r="P29" i="1"/>
  <c r="Q29" i="1"/>
  <c r="N30" i="1"/>
  <c r="O30" i="1"/>
  <c r="P30" i="1"/>
  <c r="Q30" i="1"/>
  <c r="N31" i="1"/>
  <c r="O31" i="1"/>
  <c r="P31" i="1"/>
  <c r="Q31" i="1"/>
  <c r="N32" i="1"/>
  <c r="O32" i="1"/>
  <c r="P32" i="1"/>
  <c r="Q32" i="1"/>
  <c r="N33" i="1"/>
  <c r="O33" i="1"/>
  <c r="P33" i="1"/>
  <c r="Q33" i="1"/>
  <c r="N34" i="1"/>
  <c r="O34" i="1"/>
  <c r="P34" i="1"/>
  <c r="Q34" i="1"/>
  <c r="N35" i="1"/>
  <c r="O35" i="1"/>
  <c r="P35" i="1"/>
  <c r="Q35" i="1"/>
  <c r="N36" i="1"/>
  <c r="O36" i="1"/>
  <c r="P36" i="1"/>
  <c r="Q36" i="1"/>
  <c r="N37" i="1"/>
  <c r="O37" i="1"/>
  <c r="P37" i="1"/>
  <c r="Q37" i="1"/>
  <c r="N38" i="1"/>
  <c r="O38" i="1"/>
  <c r="P38" i="1"/>
  <c r="Q38" i="1"/>
  <c r="N39" i="1"/>
  <c r="O39" i="1"/>
  <c r="P39" i="1"/>
  <c r="Q39" i="1"/>
  <c r="N40" i="1"/>
  <c r="O40" i="1"/>
  <c r="P40" i="1"/>
  <c r="Q40" i="1"/>
  <c r="N41" i="1"/>
  <c r="O41" i="1"/>
  <c r="P41" i="1"/>
  <c r="Q41" i="1"/>
  <c r="N42" i="1"/>
  <c r="O42" i="1"/>
  <c r="P42" i="1"/>
  <c r="Q42" i="1"/>
  <c r="N43" i="1"/>
  <c r="O43" i="1"/>
  <c r="P43" i="1"/>
  <c r="Q43" i="1"/>
  <c r="N44" i="1"/>
  <c r="O44" i="1"/>
  <c r="P44" i="1"/>
  <c r="Q44" i="1"/>
  <c r="N45" i="1"/>
  <c r="O45" i="1"/>
  <c r="P45" i="1"/>
  <c r="Q45" i="1"/>
  <c r="N46" i="1"/>
  <c r="O46" i="1"/>
  <c r="P46" i="1"/>
  <c r="Q46" i="1"/>
  <c r="N47" i="1"/>
  <c r="O47" i="1"/>
  <c r="P47" i="1"/>
  <c r="Q47" i="1"/>
  <c r="N48" i="1"/>
  <c r="O48" i="1"/>
  <c r="P48" i="1"/>
  <c r="Q48" i="1"/>
  <c r="N49" i="1"/>
  <c r="O49" i="1"/>
  <c r="P49" i="1"/>
  <c r="Q49" i="1"/>
  <c r="N50" i="1"/>
  <c r="O50" i="1"/>
  <c r="P50" i="1"/>
  <c r="Q50" i="1"/>
  <c r="N51" i="1"/>
  <c r="O51" i="1"/>
  <c r="P51" i="1"/>
  <c r="Q51" i="1"/>
  <c r="N52" i="1"/>
  <c r="O52" i="1"/>
  <c r="P52" i="1"/>
  <c r="Q52" i="1"/>
  <c r="N53" i="1"/>
  <c r="O53" i="1"/>
  <c r="P53" i="1"/>
  <c r="Q53" i="1"/>
  <c r="N54" i="1"/>
  <c r="O54" i="1"/>
  <c r="P54" i="1"/>
  <c r="Q54" i="1"/>
  <c r="N55" i="1"/>
  <c r="O55" i="1"/>
  <c r="P55" i="1"/>
  <c r="Q55" i="1"/>
  <c r="N56" i="1"/>
  <c r="O56" i="1"/>
  <c r="P56" i="1"/>
  <c r="Q56" i="1"/>
  <c r="N57" i="1"/>
  <c r="O57" i="1"/>
  <c r="P57" i="1"/>
  <c r="Q57" i="1"/>
  <c r="N58" i="1"/>
  <c r="O58" i="1"/>
  <c r="P58" i="1"/>
  <c r="Q58" i="1"/>
  <c r="N59" i="1"/>
  <c r="O59" i="1"/>
  <c r="P59" i="1"/>
  <c r="Q59" i="1"/>
  <c r="N60" i="1"/>
  <c r="O60" i="1"/>
  <c r="P60" i="1"/>
  <c r="Q60" i="1"/>
  <c r="N61" i="1"/>
  <c r="O61" i="1"/>
  <c r="P61" i="1"/>
  <c r="Q61" i="1"/>
  <c r="N62" i="1"/>
  <c r="O62" i="1"/>
  <c r="P62" i="1"/>
  <c r="Q62" i="1"/>
  <c r="N63" i="1"/>
  <c r="O63" i="1"/>
  <c r="P63" i="1"/>
  <c r="Q63" i="1"/>
  <c r="N64" i="1"/>
  <c r="O64" i="1"/>
  <c r="P64" i="1"/>
  <c r="Q64" i="1"/>
  <c r="N65" i="1"/>
  <c r="O65" i="1"/>
  <c r="P65" i="1"/>
  <c r="Q65" i="1"/>
  <c r="N66" i="1"/>
  <c r="O66" i="1"/>
  <c r="P66" i="1"/>
  <c r="Q66" i="1"/>
  <c r="N67" i="1"/>
  <c r="O67" i="1"/>
  <c r="P67" i="1"/>
  <c r="Q67" i="1"/>
  <c r="N68" i="1"/>
  <c r="O68" i="1"/>
  <c r="P68" i="1"/>
  <c r="Q68" i="1"/>
  <c r="N69" i="1"/>
  <c r="O69" i="1"/>
  <c r="P69" i="1"/>
  <c r="Q69" i="1"/>
  <c r="N70" i="1"/>
  <c r="O70" i="1"/>
  <c r="P70" i="1"/>
  <c r="Q70" i="1"/>
  <c r="N71" i="1"/>
  <c r="O71" i="1"/>
  <c r="P71" i="1"/>
  <c r="Q71" i="1"/>
  <c r="N72" i="1"/>
  <c r="O72" i="1"/>
  <c r="P72" i="1"/>
  <c r="Q72" i="1"/>
  <c r="N73" i="1"/>
  <c r="O73" i="1"/>
  <c r="P73" i="1"/>
  <c r="Q73" i="1"/>
  <c r="N74" i="1"/>
  <c r="O74" i="1"/>
  <c r="P74" i="1"/>
  <c r="Q74" i="1"/>
  <c r="O13" i="1"/>
  <c r="P13" i="1"/>
  <c r="Q13" i="1"/>
  <c r="N13" i="1"/>
  <c r="J14" i="1"/>
  <c r="K14" i="1"/>
  <c r="L14" i="1"/>
  <c r="M14" i="1"/>
  <c r="J15" i="1"/>
  <c r="K15" i="1"/>
  <c r="L15" i="1"/>
  <c r="M15" i="1"/>
  <c r="J16" i="1"/>
  <c r="K16" i="1"/>
  <c r="L16" i="1"/>
  <c r="M16" i="1"/>
  <c r="J17" i="1"/>
  <c r="K17" i="1"/>
  <c r="L17" i="1"/>
  <c r="M17" i="1"/>
  <c r="J18" i="1"/>
  <c r="K18" i="1"/>
  <c r="L18" i="1"/>
  <c r="M18" i="1"/>
  <c r="J19" i="1"/>
  <c r="K19" i="1"/>
  <c r="L19" i="1"/>
  <c r="M19" i="1"/>
  <c r="J20" i="1"/>
  <c r="K20" i="1"/>
  <c r="L20" i="1"/>
  <c r="M20" i="1"/>
  <c r="J21" i="1"/>
  <c r="K21" i="1"/>
  <c r="L21" i="1"/>
  <c r="M21" i="1"/>
  <c r="J22" i="1"/>
  <c r="K22" i="1"/>
  <c r="L22" i="1"/>
  <c r="M22" i="1"/>
  <c r="J23" i="1"/>
  <c r="K23" i="1"/>
  <c r="L23" i="1"/>
  <c r="M23" i="1"/>
  <c r="J24" i="1"/>
  <c r="K24" i="1"/>
  <c r="L24" i="1"/>
  <c r="M24" i="1"/>
  <c r="J25" i="1"/>
  <c r="K25" i="1"/>
  <c r="L25" i="1"/>
  <c r="M25" i="1"/>
  <c r="J26" i="1"/>
  <c r="K26" i="1"/>
  <c r="L26" i="1"/>
  <c r="M26" i="1"/>
  <c r="J27" i="1"/>
  <c r="K27" i="1"/>
  <c r="L27" i="1"/>
  <c r="M27" i="1"/>
  <c r="J28" i="1"/>
  <c r="K28" i="1"/>
  <c r="L28" i="1"/>
  <c r="M28" i="1"/>
  <c r="J29" i="1"/>
  <c r="K29" i="1"/>
  <c r="L29" i="1"/>
  <c r="M29" i="1"/>
  <c r="J30" i="1"/>
  <c r="K30" i="1"/>
  <c r="L30" i="1"/>
  <c r="M30" i="1"/>
  <c r="J31" i="1"/>
  <c r="K31" i="1"/>
  <c r="L31" i="1"/>
  <c r="M31" i="1"/>
  <c r="J32" i="1"/>
  <c r="K32" i="1"/>
  <c r="L32" i="1"/>
  <c r="M32" i="1"/>
  <c r="J33" i="1"/>
  <c r="K33" i="1"/>
  <c r="L33" i="1"/>
  <c r="M33" i="1"/>
  <c r="J34" i="1"/>
  <c r="K34" i="1"/>
  <c r="L34" i="1"/>
  <c r="M34" i="1"/>
  <c r="J35" i="1"/>
  <c r="K35" i="1"/>
  <c r="L35" i="1"/>
  <c r="M35" i="1"/>
  <c r="J36" i="1"/>
  <c r="K36" i="1"/>
  <c r="L36" i="1"/>
  <c r="M36" i="1"/>
  <c r="J37" i="1"/>
  <c r="K37" i="1"/>
  <c r="L37" i="1"/>
  <c r="M37" i="1"/>
  <c r="J38" i="1"/>
  <c r="K38" i="1"/>
  <c r="L38" i="1"/>
  <c r="M38" i="1"/>
  <c r="J39" i="1"/>
  <c r="K39" i="1"/>
  <c r="L39" i="1"/>
  <c r="M39" i="1"/>
  <c r="J40" i="1"/>
  <c r="K40" i="1"/>
  <c r="L40" i="1"/>
  <c r="M40" i="1"/>
  <c r="J41" i="1"/>
  <c r="K41" i="1"/>
  <c r="L41" i="1"/>
  <c r="M41" i="1"/>
  <c r="J42" i="1"/>
  <c r="K42" i="1"/>
  <c r="L42" i="1"/>
  <c r="M42" i="1"/>
  <c r="J43" i="1"/>
  <c r="K43" i="1"/>
  <c r="L43" i="1"/>
  <c r="M43" i="1"/>
  <c r="J44" i="1"/>
  <c r="K44" i="1"/>
  <c r="L44" i="1"/>
  <c r="M44" i="1"/>
  <c r="J45" i="1"/>
  <c r="K45" i="1"/>
  <c r="L45" i="1"/>
  <c r="M45" i="1"/>
  <c r="J46" i="1"/>
  <c r="K46" i="1"/>
  <c r="L46" i="1"/>
  <c r="M46" i="1"/>
  <c r="J47" i="1"/>
  <c r="K47" i="1"/>
  <c r="L47" i="1"/>
  <c r="M47" i="1"/>
  <c r="J48" i="1"/>
  <c r="K48" i="1"/>
  <c r="L48" i="1"/>
  <c r="M48" i="1"/>
  <c r="J49" i="1"/>
  <c r="K49" i="1"/>
  <c r="L49" i="1"/>
  <c r="M49" i="1"/>
  <c r="J50" i="1"/>
  <c r="K50" i="1"/>
  <c r="L50" i="1"/>
  <c r="M50" i="1"/>
  <c r="J51" i="1"/>
  <c r="K51" i="1"/>
  <c r="L51" i="1"/>
  <c r="M51" i="1"/>
  <c r="J52" i="1"/>
  <c r="K52" i="1"/>
  <c r="L52" i="1"/>
  <c r="M52" i="1"/>
  <c r="J53" i="1"/>
  <c r="K53" i="1"/>
  <c r="L53" i="1"/>
  <c r="M53" i="1"/>
  <c r="J54" i="1"/>
  <c r="K54" i="1"/>
  <c r="L54" i="1"/>
  <c r="M54" i="1"/>
  <c r="J55" i="1"/>
  <c r="K55" i="1"/>
  <c r="L55" i="1"/>
  <c r="M55" i="1"/>
  <c r="J56" i="1"/>
  <c r="K56" i="1"/>
  <c r="L56" i="1"/>
  <c r="M56" i="1"/>
  <c r="J57" i="1"/>
  <c r="K57" i="1"/>
  <c r="L57" i="1"/>
  <c r="M57" i="1"/>
  <c r="J58" i="1"/>
  <c r="K58" i="1"/>
  <c r="L58" i="1"/>
  <c r="M58" i="1"/>
  <c r="J59" i="1"/>
  <c r="K59" i="1"/>
  <c r="L59" i="1"/>
  <c r="M59" i="1"/>
  <c r="J60" i="1"/>
  <c r="K60" i="1"/>
  <c r="L60" i="1"/>
  <c r="M60" i="1"/>
  <c r="J61" i="1"/>
  <c r="K61" i="1"/>
  <c r="L61" i="1"/>
  <c r="M61" i="1"/>
  <c r="J62" i="1"/>
  <c r="K62" i="1"/>
  <c r="L62" i="1"/>
  <c r="M62" i="1"/>
  <c r="J63" i="1"/>
  <c r="K63" i="1"/>
  <c r="L63" i="1"/>
  <c r="M63" i="1"/>
  <c r="J64" i="1"/>
  <c r="K64" i="1"/>
  <c r="L64" i="1"/>
  <c r="M64" i="1"/>
  <c r="J65" i="1"/>
  <c r="K65" i="1"/>
  <c r="L65" i="1"/>
  <c r="M65" i="1"/>
  <c r="J66" i="1"/>
  <c r="K66" i="1"/>
  <c r="L66" i="1"/>
  <c r="M66" i="1"/>
  <c r="J67" i="1"/>
  <c r="K67" i="1"/>
  <c r="L67" i="1"/>
  <c r="M67" i="1"/>
  <c r="J68" i="1"/>
  <c r="K68" i="1"/>
  <c r="L68" i="1"/>
  <c r="M68" i="1"/>
  <c r="J69" i="1"/>
  <c r="K69" i="1"/>
  <c r="L69" i="1"/>
  <c r="M69" i="1"/>
  <c r="J70" i="1"/>
  <c r="K70" i="1"/>
  <c r="L70" i="1"/>
  <c r="M70" i="1"/>
  <c r="J71" i="1"/>
  <c r="K71" i="1"/>
  <c r="L71" i="1"/>
  <c r="M71" i="1"/>
  <c r="J72" i="1"/>
  <c r="K72" i="1"/>
  <c r="L72" i="1"/>
  <c r="M72" i="1"/>
  <c r="J73" i="1"/>
  <c r="K73" i="1"/>
  <c r="L73" i="1"/>
  <c r="M73" i="1"/>
  <c r="J74" i="1"/>
  <c r="K74" i="1"/>
  <c r="L74" i="1"/>
  <c r="M74" i="1"/>
  <c r="K13" i="1"/>
  <c r="L13" i="1"/>
  <c r="M13" i="1"/>
  <c r="J13" i="1"/>
</calcChain>
</file>

<file path=xl/sharedStrings.xml><?xml version="1.0" encoding="utf-8"?>
<sst xmlns="http://schemas.openxmlformats.org/spreadsheetml/2006/main" count="67" uniqueCount="37">
  <si>
    <t>Loading</t>
  </si>
  <si>
    <t>setup</t>
  </si>
  <si>
    <t>file</t>
  </si>
  <si>
    <t>'e.json'</t>
  </si>
  <si>
    <t>Reading</t>
  </si>
  <si>
    <t>wave</t>
  </si>
  <si>
    <t>'e.wav'</t>
  </si>
  <si>
    <t>Wave</t>
  </si>
  <si>
    <t>parameters:</t>
  </si>
  <si>
    <t>{</t>
  </si>
  <si>
    <t>nchannels:</t>
  </si>
  <si>
    <t>2,</t>
  </si>
  <si>
    <t>sampwidth:</t>
  </si>
  <si>
    <t>3,</t>
  </si>
  <si>
    <t>framerate:</t>
  </si>
  <si>
    <t>44100,</t>
  </si>
  <si>
    <t>nframes:</t>
  </si>
  <si>
    <t>12582912,</t>
  </si>
  <si>
    <t>comptype:</t>
  </si>
  <si>
    <t>NONE,</t>
  </si>
  <si>
    <t>compname:</t>
  </si>
  <si>
    <t>not compressed</t>
  </si>
  <si>
    <t>Writing</t>
  </si>
  <si>
    <t>'f.json'</t>
  </si>
  <si>
    <t>Actual</t>
  </si>
  <si>
    <t>Freq</t>
  </si>
  <si>
    <t>A</t>
  </si>
  <si>
    <t>B</t>
  </si>
  <si>
    <t>C</t>
  </si>
  <si>
    <t>D</t>
  </si>
  <si>
    <t>Real part</t>
  </si>
  <si>
    <t>Imaginary part</t>
  </si>
  <si>
    <t>Complex Values</t>
  </si>
  <si>
    <t>dB</t>
  </si>
  <si>
    <t>Complex Ratios</t>
  </si>
  <si>
    <t>deg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</si>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</sst>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Flat Sweep and RIAA Deemphasis</a:t>
            </a:r>
          </a:p>
          <a:p>
            <a:pPr>
              <a:defRPr/>
            </a:pPr>
            <a:r>
              <a:rPr lang="en-US"/>
              <a:t>6 June 2026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774351095418889"/>
          <c:y val="0.137667984887539"/>
          <c:w val="0.86646260211845"/>
          <c:h val="0.720372161999929"/>
        </c:manualLayout>
      </c:layout>
      <c:scatterChart>
        <c:scatterStyle val="lineMarker"/>
        <c:varyColors val="0"/>
        <c:ser>
          <c:idx val="0"/>
          <c:order val="0"/>
          <c:tx>
            <c:v>Left Chan (dB)</c:v>
          </c:tx>
          <c:spPr>
            <a:ln w="47625">
              <a:noFill/>
            </a:ln>
          </c:spPr>
          <c:xVal>
            <c:numRef>
              <c:f>'Measured RIAA Response'!$A$13:$A$74</c:f>
              <c:numCache>
                <c:formatCode>General</c:formatCode>
                <c:ptCount val="62"/>
                <c:pt idx="0">
                  <c:v>16.001451</c:v>
                </c:pt>
                <c:pt idx="1">
                  <c:v>20.143118</c:v>
                </c:pt>
                <c:pt idx="2">
                  <c:v>25.362768</c:v>
                </c:pt>
                <c:pt idx="3">
                  <c:v>31.929302</c:v>
                </c:pt>
                <c:pt idx="4">
                  <c:v>40.195312</c:v>
                </c:pt>
                <c:pt idx="5">
                  <c:v>50.597405</c:v>
                </c:pt>
                <c:pt idx="6">
                  <c:v>63.69847</c:v>
                </c:pt>
                <c:pt idx="7">
                  <c:v>80.201261</c:v>
                </c:pt>
                <c:pt idx="8">
                  <c:v>100.968027</c:v>
                </c:pt>
                <c:pt idx="9">
                  <c:v>127.10439</c:v>
                </c:pt>
                <c:pt idx="10">
                  <c:v>160.007022</c:v>
                </c:pt>
                <c:pt idx="11">
                  <c:v>201.456349</c:v>
                </c:pt>
                <c:pt idx="12">
                  <c:v>253.585211</c:v>
                </c:pt>
                <c:pt idx="13">
                  <c:v>319.290075</c:v>
                </c:pt>
                <c:pt idx="14">
                  <c:v>401.94414</c:v>
                </c:pt>
                <c:pt idx="15">
                  <c:v>506.015299</c:v>
                </c:pt>
                <c:pt idx="16">
                  <c:v>636.97723</c:v>
                </c:pt>
                <c:pt idx="17">
                  <c:v>801.911445</c:v>
                </c:pt>
                <c:pt idx="18">
                  <c:v>1009.546788</c:v>
                </c:pt>
                <c:pt idx="19">
                  <c:v>1271.06546</c:v>
                </c:pt>
                <c:pt idx="20">
                  <c:v>1600.019278</c:v>
                </c:pt>
                <c:pt idx="21">
                  <c:v>2014.313892</c:v>
                </c:pt>
                <c:pt idx="22">
                  <c:v>2536.107678</c:v>
                </c:pt>
                <c:pt idx="23">
                  <c:v>3192.521598</c:v>
                </c:pt>
                <c:pt idx="24">
                  <c:v>4019.460315</c:v>
                </c:pt>
                <c:pt idx="25">
                  <c:v>5059.790831</c:v>
                </c:pt>
                <c:pt idx="26">
                  <c:v>6369.735421</c:v>
                </c:pt>
                <c:pt idx="27">
                  <c:v>8019.263685</c:v>
                </c:pt>
                <c:pt idx="28">
                  <c:v>10096.471541</c:v>
                </c:pt>
                <c:pt idx="29">
                  <c:v>12710.556156</c:v>
                </c:pt>
                <c:pt idx="30">
                  <c:v>16000.960204</c:v>
                </c:pt>
                <c:pt idx="31">
                  <c:v>16.001451</c:v>
                </c:pt>
                <c:pt idx="32">
                  <c:v>20.143118</c:v>
                </c:pt>
                <c:pt idx="33">
                  <c:v>25.362768</c:v>
                </c:pt>
                <c:pt idx="34">
                  <c:v>31.929302</c:v>
                </c:pt>
                <c:pt idx="35">
                  <c:v>40.195312</c:v>
                </c:pt>
                <c:pt idx="36">
                  <c:v>50.597405</c:v>
                </c:pt>
                <c:pt idx="37">
                  <c:v>63.69847</c:v>
                </c:pt>
                <c:pt idx="38">
                  <c:v>80.201261</c:v>
                </c:pt>
                <c:pt idx="39">
                  <c:v>100.968027</c:v>
                </c:pt>
                <c:pt idx="40">
                  <c:v>127.10439</c:v>
                </c:pt>
                <c:pt idx="41">
                  <c:v>160.007022</c:v>
                </c:pt>
                <c:pt idx="42">
                  <c:v>201.456349</c:v>
                </c:pt>
                <c:pt idx="43">
                  <c:v>253.585211</c:v>
                </c:pt>
                <c:pt idx="44">
                  <c:v>319.290075</c:v>
                </c:pt>
                <c:pt idx="45">
                  <c:v>401.94414</c:v>
                </c:pt>
                <c:pt idx="46">
                  <c:v>506.015299</c:v>
                </c:pt>
                <c:pt idx="47">
                  <c:v>636.97723</c:v>
                </c:pt>
                <c:pt idx="48">
                  <c:v>801.911445</c:v>
                </c:pt>
                <c:pt idx="49">
                  <c:v>1009.546788</c:v>
                </c:pt>
                <c:pt idx="50">
                  <c:v>1271.06546</c:v>
                </c:pt>
                <c:pt idx="51">
                  <c:v>1600.019278</c:v>
                </c:pt>
                <c:pt idx="52">
                  <c:v>2014.313892</c:v>
                </c:pt>
                <c:pt idx="53">
                  <c:v>2536.107678</c:v>
                </c:pt>
                <c:pt idx="54">
                  <c:v>3192.521598</c:v>
                </c:pt>
                <c:pt idx="55">
                  <c:v>4019.460315</c:v>
                </c:pt>
                <c:pt idx="56">
                  <c:v>5059.790831</c:v>
                </c:pt>
                <c:pt idx="57">
                  <c:v>6369.735421</c:v>
                </c:pt>
                <c:pt idx="58">
                  <c:v>8019.263685</c:v>
                </c:pt>
                <c:pt idx="59">
                  <c:v>10096.471541</c:v>
                </c:pt>
                <c:pt idx="60">
                  <c:v>12710.556156</c:v>
                </c:pt>
                <c:pt idx="61">
                  <c:v>16000.960204</c:v>
                </c:pt>
              </c:numCache>
            </c:numRef>
          </c:xVal>
          <c:yVal>
            <c:numRef>
              <c:f>'Measured RIAA Response'!$N$13:$N$74</c:f>
              <c:numCache>
                <c:formatCode>General</c:formatCode>
                <c:ptCount val="62"/>
                <c:pt idx="0">
                  <c:v>132.0763158689912</c:v>
                </c:pt>
                <c:pt idx="1">
                  <c:v>132.0954455372913</c:v>
                </c:pt>
                <c:pt idx="2">
                  <c:v>132.1073193916046</c:v>
                </c:pt>
                <c:pt idx="3">
                  <c:v>132.1151481752294</c:v>
                </c:pt>
                <c:pt idx="4">
                  <c:v>132.120057730485</c:v>
                </c:pt>
                <c:pt idx="5">
                  <c:v>132.123213258149</c:v>
                </c:pt>
                <c:pt idx="6">
                  <c:v>132.1252427771629</c:v>
                </c:pt>
                <c:pt idx="7">
                  <c:v>132.1264700314682</c:v>
                </c:pt>
                <c:pt idx="8">
                  <c:v>132.1271912511933</c:v>
                </c:pt>
                <c:pt idx="9">
                  <c:v>132.1276285857921</c:v>
                </c:pt>
                <c:pt idx="10">
                  <c:v>132.1279535790568</c:v>
                </c:pt>
                <c:pt idx="11">
                  <c:v>132.1279011598835</c:v>
                </c:pt>
                <c:pt idx="12">
                  <c:v>132.1276580271503</c:v>
                </c:pt>
                <c:pt idx="13">
                  <c:v>132.1274054617018</c:v>
                </c:pt>
                <c:pt idx="14">
                  <c:v>132.1268960795821</c:v>
                </c:pt>
                <c:pt idx="15">
                  <c:v>132.126255986922</c:v>
                </c:pt>
                <c:pt idx="16">
                  <c:v>132.1254520876773</c:v>
                </c:pt>
                <c:pt idx="17">
                  <c:v>132.124841323072</c:v>
                </c:pt>
                <c:pt idx="18">
                  <c:v>132.1243430565289</c:v>
                </c:pt>
                <c:pt idx="19">
                  <c:v>132.1235044785712</c:v>
                </c:pt>
                <c:pt idx="20">
                  <c:v>132.1203079721418</c:v>
                </c:pt>
                <c:pt idx="21">
                  <c:v>132.1141503940877</c:v>
                </c:pt>
                <c:pt idx="22">
                  <c:v>132.1084264611786</c:v>
                </c:pt>
                <c:pt idx="23">
                  <c:v>132.0968856213618</c:v>
                </c:pt>
                <c:pt idx="24">
                  <c:v>132.0819618146907</c:v>
                </c:pt>
                <c:pt idx="25">
                  <c:v>132.0574276647737</c:v>
                </c:pt>
                <c:pt idx="26">
                  <c:v>132.0255593376661</c:v>
                </c:pt>
                <c:pt idx="27">
                  <c:v>131.9865661152602</c:v>
                </c:pt>
                <c:pt idx="28">
                  <c:v>131.9400522359333</c:v>
                </c:pt>
                <c:pt idx="29">
                  <c:v>131.8910937204158</c:v>
                </c:pt>
                <c:pt idx="30">
                  <c:v>131.8229115445942</c:v>
                </c:pt>
                <c:pt idx="31">
                  <c:v>133.7209237866908</c:v>
                </c:pt>
                <c:pt idx="32">
                  <c:v>133.800600398127</c:v>
                </c:pt>
                <c:pt idx="33">
                  <c:v>133.8523984546941</c:v>
                </c:pt>
                <c:pt idx="34">
                  <c:v>133.8849480415704</c:v>
                </c:pt>
                <c:pt idx="35">
                  <c:v>133.9061265830773</c:v>
                </c:pt>
                <c:pt idx="36">
                  <c:v>133.9208017710578</c:v>
                </c:pt>
                <c:pt idx="37">
                  <c:v>133.9304930231775</c:v>
                </c:pt>
                <c:pt idx="38">
                  <c:v>133.9374125226208</c:v>
                </c:pt>
                <c:pt idx="39">
                  <c:v>133.9415192862424</c:v>
                </c:pt>
                <c:pt idx="40">
                  <c:v>133.9452063149083</c:v>
                </c:pt>
                <c:pt idx="41">
                  <c:v>133.9477076376575</c:v>
                </c:pt>
                <c:pt idx="42">
                  <c:v>133.9495408894216</c:v>
                </c:pt>
                <c:pt idx="43">
                  <c:v>133.9501127010242</c:v>
                </c:pt>
                <c:pt idx="44">
                  <c:v>133.9499318649208</c:v>
                </c:pt>
                <c:pt idx="45">
                  <c:v>133.9493029239775</c:v>
                </c:pt>
                <c:pt idx="46">
                  <c:v>133.9464955576687</c:v>
                </c:pt>
                <c:pt idx="47">
                  <c:v>133.9435071422608</c:v>
                </c:pt>
                <c:pt idx="48">
                  <c:v>133.9377810407797</c:v>
                </c:pt>
                <c:pt idx="49">
                  <c:v>133.9326681352866</c:v>
                </c:pt>
                <c:pt idx="50">
                  <c:v>133.925076293922</c:v>
                </c:pt>
                <c:pt idx="51">
                  <c:v>133.9139535398091</c:v>
                </c:pt>
                <c:pt idx="52">
                  <c:v>133.8996070187781</c:v>
                </c:pt>
                <c:pt idx="53">
                  <c:v>133.8861569242712</c:v>
                </c:pt>
                <c:pt idx="54">
                  <c:v>133.8684592601571</c:v>
                </c:pt>
                <c:pt idx="55">
                  <c:v>133.8464433460853</c:v>
                </c:pt>
                <c:pt idx="56">
                  <c:v>133.820098541955</c:v>
                </c:pt>
                <c:pt idx="57">
                  <c:v>133.7839412207015</c:v>
                </c:pt>
                <c:pt idx="58">
                  <c:v>133.7434994417577</c:v>
                </c:pt>
                <c:pt idx="59">
                  <c:v>133.6973915856096</c:v>
                </c:pt>
                <c:pt idx="60">
                  <c:v>133.647822191758</c:v>
                </c:pt>
                <c:pt idx="61">
                  <c:v>133.5807476010768</c:v>
                </c:pt>
              </c:numCache>
            </c:numRef>
          </c:yVal>
          <c:smooth val="0"/>
        </c:ser>
        <c:ser>
          <c:idx val="1"/>
          <c:order val="1"/>
          <c:tx>
            <c:v>Left Quiet (dB)</c:v>
          </c:tx>
          <c:spPr>
            <a:ln w="47625">
              <a:noFill/>
            </a:ln>
          </c:spPr>
          <c:xVal>
            <c:numRef>
              <c:f>'Measured RIAA Response'!$A$13:$A$74</c:f>
              <c:numCache>
                <c:formatCode>General</c:formatCode>
                <c:ptCount val="62"/>
                <c:pt idx="0">
                  <c:v>16.001451</c:v>
                </c:pt>
                <c:pt idx="1">
                  <c:v>20.143118</c:v>
                </c:pt>
                <c:pt idx="2">
                  <c:v>25.362768</c:v>
                </c:pt>
                <c:pt idx="3">
                  <c:v>31.929302</c:v>
                </c:pt>
                <c:pt idx="4">
                  <c:v>40.195312</c:v>
                </c:pt>
                <c:pt idx="5">
                  <c:v>50.597405</c:v>
                </c:pt>
                <c:pt idx="6">
                  <c:v>63.69847</c:v>
                </c:pt>
                <c:pt idx="7">
                  <c:v>80.201261</c:v>
                </c:pt>
                <c:pt idx="8">
                  <c:v>100.968027</c:v>
                </c:pt>
                <c:pt idx="9">
                  <c:v>127.10439</c:v>
                </c:pt>
                <c:pt idx="10">
                  <c:v>160.007022</c:v>
                </c:pt>
                <c:pt idx="11">
                  <c:v>201.456349</c:v>
                </c:pt>
                <c:pt idx="12">
                  <c:v>253.585211</c:v>
                </c:pt>
                <c:pt idx="13">
                  <c:v>319.290075</c:v>
                </c:pt>
                <c:pt idx="14">
                  <c:v>401.94414</c:v>
                </c:pt>
                <c:pt idx="15">
                  <c:v>506.015299</c:v>
                </c:pt>
                <c:pt idx="16">
                  <c:v>636.97723</c:v>
                </c:pt>
                <c:pt idx="17">
                  <c:v>801.911445</c:v>
                </c:pt>
                <c:pt idx="18">
                  <c:v>1009.546788</c:v>
                </c:pt>
                <c:pt idx="19">
                  <c:v>1271.06546</c:v>
                </c:pt>
                <c:pt idx="20">
                  <c:v>1600.019278</c:v>
                </c:pt>
                <c:pt idx="21">
                  <c:v>2014.313892</c:v>
                </c:pt>
                <c:pt idx="22">
                  <c:v>2536.107678</c:v>
                </c:pt>
                <c:pt idx="23">
                  <c:v>3192.521598</c:v>
                </c:pt>
                <c:pt idx="24">
                  <c:v>4019.460315</c:v>
                </c:pt>
                <c:pt idx="25">
                  <c:v>5059.790831</c:v>
                </c:pt>
                <c:pt idx="26">
                  <c:v>6369.735421</c:v>
                </c:pt>
                <c:pt idx="27">
                  <c:v>8019.263685</c:v>
                </c:pt>
                <c:pt idx="28">
                  <c:v>10096.471541</c:v>
                </c:pt>
                <c:pt idx="29">
                  <c:v>12710.556156</c:v>
                </c:pt>
                <c:pt idx="30">
                  <c:v>16000.960204</c:v>
                </c:pt>
                <c:pt idx="31">
                  <c:v>16.001451</c:v>
                </c:pt>
                <c:pt idx="32">
                  <c:v>20.143118</c:v>
                </c:pt>
                <c:pt idx="33">
                  <c:v>25.362768</c:v>
                </c:pt>
                <c:pt idx="34">
                  <c:v>31.929302</c:v>
                </c:pt>
                <c:pt idx="35">
                  <c:v>40.195312</c:v>
                </c:pt>
                <c:pt idx="36">
                  <c:v>50.597405</c:v>
                </c:pt>
                <c:pt idx="37">
                  <c:v>63.69847</c:v>
                </c:pt>
                <c:pt idx="38">
                  <c:v>80.201261</c:v>
                </c:pt>
                <c:pt idx="39">
                  <c:v>100.968027</c:v>
                </c:pt>
                <c:pt idx="40">
                  <c:v>127.10439</c:v>
                </c:pt>
                <c:pt idx="41">
                  <c:v>160.007022</c:v>
                </c:pt>
                <c:pt idx="42">
                  <c:v>201.456349</c:v>
                </c:pt>
                <c:pt idx="43">
                  <c:v>253.585211</c:v>
                </c:pt>
                <c:pt idx="44">
                  <c:v>319.290075</c:v>
                </c:pt>
                <c:pt idx="45">
                  <c:v>401.94414</c:v>
                </c:pt>
                <c:pt idx="46">
                  <c:v>506.015299</c:v>
                </c:pt>
                <c:pt idx="47">
                  <c:v>636.97723</c:v>
                </c:pt>
                <c:pt idx="48">
                  <c:v>801.911445</c:v>
                </c:pt>
                <c:pt idx="49">
                  <c:v>1009.546788</c:v>
                </c:pt>
                <c:pt idx="50">
                  <c:v>1271.06546</c:v>
                </c:pt>
                <c:pt idx="51">
                  <c:v>1600.019278</c:v>
                </c:pt>
                <c:pt idx="52">
                  <c:v>2014.313892</c:v>
                </c:pt>
                <c:pt idx="53">
                  <c:v>2536.107678</c:v>
                </c:pt>
                <c:pt idx="54">
                  <c:v>3192.521598</c:v>
                </c:pt>
                <c:pt idx="55">
                  <c:v>4019.460315</c:v>
                </c:pt>
                <c:pt idx="56">
                  <c:v>5059.790831</c:v>
                </c:pt>
                <c:pt idx="57">
                  <c:v>6369.735421</c:v>
                </c:pt>
                <c:pt idx="58">
                  <c:v>8019.263685</c:v>
                </c:pt>
                <c:pt idx="59">
                  <c:v>10096.471541</c:v>
                </c:pt>
                <c:pt idx="60">
                  <c:v>12710.556156</c:v>
                </c:pt>
                <c:pt idx="61">
                  <c:v>16000.960204</c:v>
                </c:pt>
              </c:numCache>
            </c:numRef>
          </c:xVal>
          <c:yVal>
            <c:numRef>
              <c:f>'Measured RIAA Response'!$O$13:$O$74</c:f>
              <c:numCache>
                <c:formatCode>General</c:formatCode>
                <c:ptCount val="62"/>
                <c:pt idx="0">
                  <c:v>-2.451940196658155</c:v>
                </c:pt>
                <c:pt idx="1">
                  <c:v>0.0569953370363707</c:v>
                </c:pt>
                <c:pt idx="2">
                  <c:v>-0.496850164740766</c:v>
                </c:pt>
                <c:pt idx="3">
                  <c:v>-8.40474923932652</c:v>
                </c:pt>
                <c:pt idx="4">
                  <c:v>0.0609574669247201</c:v>
                </c:pt>
                <c:pt idx="5">
                  <c:v>19.58378947116014</c:v>
                </c:pt>
                <c:pt idx="6">
                  <c:v>-10.72096572224614</c:v>
                </c:pt>
                <c:pt idx="7">
                  <c:v>-8.721228151573779</c:v>
                </c:pt>
                <c:pt idx="8">
                  <c:v>-1.633909673903727</c:v>
                </c:pt>
                <c:pt idx="9">
                  <c:v>-3.672111161084385</c:v>
                </c:pt>
                <c:pt idx="10">
                  <c:v>2.268628937379241</c:v>
                </c:pt>
                <c:pt idx="11">
                  <c:v>-9.954618260727807</c:v>
                </c:pt>
                <c:pt idx="12">
                  <c:v>-2.984587044913182</c:v>
                </c:pt>
                <c:pt idx="13">
                  <c:v>-12.04358993728038</c:v>
                </c:pt>
                <c:pt idx="14">
                  <c:v>-1.924404862914268</c:v>
                </c:pt>
                <c:pt idx="15">
                  <c:v>-5.591624518010584</c:v>
                </c:pt>
                <c:pt idx="16">
                  <c:v>-6.371120233966284</c:v>
                </c:pt>
                <c:pt idx="17">
                  <c:v>-11.94627350804324</c:v>
                </c:pt>
                <c:pt idx="18">
                  <c:v>-1.709729518103465</c:v>
                </c:pt>
                <c:pt idx="19">
                  <c:v>2.537252308029256</c:v>
                </c:pt>
                <c:pt idx="20">
                  <c:v>-13.53435292661454</c:v>
                </c:pt>
                <c:pt idx="21">
                  <c:v>-6.060658976883607</c:v>
                </c:pt>
                <c:pt idx="22">
                  <c:v>1.620632027948842</c:v>
                </c:pt>
                <c:pt idx="23">
                  <c:v>-16.82348137762033</c:v>
                </c:pt>
                <c:pt idx="24">
                  <c:v>-7.610616872654173</c:v>
                </c:pt>
                <c:pt idx="25">
                  <c:v>6.683278654832505</c:v>
                </c:pt>
                <c:pt idx="26">
                  <c:v>1.932643218403023</c:v>
                </c:pt>
                <c:pt idx="27">
                  <c:v>-2.877951561919215</c:v>
                </c:pt>
                <c:pt idx="28">
                  <c:v>-5.166851239818731</c:v>
                </c:pt>
                <c:pt idx="29">
                  <c:v>-6.170595474830834</c:v>
                </c:pt>
                <c:pt idx="30">
                  <c:v>-2.04463959849155</c:v>
                </c:pt>
                <c:pt idx="31">
                  <c:v>43.89445168644877</c:v>
                </c:pt>
                <c:pt idx="32">
                  <c:v>52.06443653277527</c:v>
                </c:pt>
                <c:pt idx="33">
                  <c:v>45.48498793226436</c:v>
                </c:pt>
                <c:pt idx="34">
                  <c:v>64.28411946254458</c:v>
                </c:pt>
                <c:pt idx="35">
                  <c:v>56.5062085235315</c:v>
                </c:pt>
                <c:pt idx="36">
                  <c:v>53.88861485059963</c:v>
                </c:pt>
                <c:pt idx="37">
                  <c:v>35.59807080473304</c:v>
                </c:pt>
                <c:pt idx="38">
                  <c:v>27.79673171036175</c:v>
                </c:pt>
                <c:pt idx="39">
                  <c:v>50.05059644453866</c:v>
                </c:pt>
                <c:pt idx="40">
                  <c:v>22.12312094276265</c:v>
                </c:pt>
                <c:pt idx="41">
                  <c:v>27.40826748358237</c:v>
                </c:pt>
                <c:pt idx="42">
                  <c:v>29.09301359625663</c:v>
                </c:pt>
                <c:pt idx="43">
                  <c:v>24.77487577238972</c:v>
                </c:pt>
                <c:pt idx="44">
                  <c:v>26.64423407914146</c:v>
                </c:pt>
                <c:pt idx="45">
                  <c:v>20.5964766107784</c:v>
                </c:pt>
                <c:pt idx="46">
                  <c:v>22.02334211916857</c:v>
                </c:pt>
                <c:pt idx="47">
                  <c:v>14.96882560925691</c:v>
                </c:pt>
                <c:pt idx="48">
                  <c:v>24.19105033635815</c:v>
                </c:pt>
                <c:pt idx="49">
                  <c:v>18.82458757720296</c:v>
                </c:pt>
                <c:pt idx="50">
                  <c:v>19.06443811851008</c:v>
                </c:pt>
                <c:pt idx="51">
                  <c:v>14.55920015154818</c:v>
                </c:pt>
                <c:pt idx="52">
                  <c:v>14.21294819334601</c:v>
                </c:pt>
                <c:pt idx="53">
                  <c:v>-10.84735770316231</c:v>
                </c:pt>
                <c:pt idx="54">
                  <c:v>15.55139494590261</c:v>
                </c:pt>
                <c:pt idx="55">
                  <c:v>14.4944958307544</c:v>
                </c:pt>
                <c:pt idx="56">
                  <c:v>-1.370650646298936</c:v>
                </c:pt>
                <c:pt idx="57">
                  <c:v>10.15720646901896</c:v>
                </c:pt>
                <c:pt idx="58">
                  <c:v>7.371251131553666</c:v>
                </c:pt>
                <c:pt idx="59">
                  <c:v>-1.057063403675149</c:v>
                </c:pt>
                <c:pt idx="60">
                  <c:v>6.947750770094937</c:v>
                </c:pt>
                <c:pt idx="61">
                  <c:v>0.216116661017928</c:v>
                </c:pt>
              </c:numCache>
            </c:numRef>
          </c:yVal>
          <c:smooth val="0"/>
        </c:ser>
        <c:ser>
          <c:idx val="2"/>
          <c:order val="2"/>
          <c:tx>
            <c:v>Right Chan (dB)</c:v>
          </c:tx>
          <c:spPr>
            <a:ln w="47625">
              <a:noFill/>
            </a:ln>
          </c:spPr>
          <c:xVal>
            <c:numRef>
              <c:f>'Measured RIAA Response'!$A$13:$A$74</c:f>
              <c:numCache>
                <c:formatCode>General</c:formatCode>
                <c:ptCount val="62"/>
                <c:pt idx="0">
                  <c:v>16.001451</c:v>
                </c:pt>
                <c:pt idx="1">
                  <c:v>20.143118</c:v>
                </c:pt>
                <c:pt idx="2">
                  <c:v>25.362768</c:v>
                </c:pt>
                <c:pt idx="3">
                  <c:v>31.929302</c:v>
                </c:pt>
                <c:pt idx="4">
                  <c:v>40.195312</c:v>
                </c:pt>
                <c:pt idx="5">
                  <c:v>50.597405</c:v>
                </c:pt>
                <c:pt idx="6">
                  <c:v>63.69847</c:v>
                </c:pt>
                <c:pt idx="7">
                  <c:v>80.201261</c:v>
                </c:pt>
                <c:pt idx="8">
                  <c:v>100.968027</c:v>
                </c:pt>
                <c:pt idx="9">
                  <c:v>127.10439</c:v>
                </c:pt>
                <c:pt idx="10">
                  <c:v>160.007022</c:v>
                </c:pt>
                <c:pt idx="11">
                  <c:v>201.456349</c:v>
                </c:pt>
                <c:pt idx="12">
                  <c:v>253.585211</c:v>
                </c:pt>
                <c:pt idx="13">
                  <c:v>319.290075</c:v>
                </c:pt>
                <c:pt idx="14">
                  <c:v>401.94414</c:v>
                </c:pt>
                <c:pt idx="15">
                  <c:v>506.015299</c:v>
                </c:pt>
                <c:pt idx="16">
                  <c:v>636.97723</c:v>
                </c:pt>
                <c:pt idx="17">
                  <c:v>801.911445</c:v>
                </c:pt>
                <c:pt idx="18">
                  <c:v>1009.546788</c:v>
                </c:pt>
                <c:pt idx="19">
                  <c:v>1271.06546</c:v>
                </c:pt>
                <c:pt idx="20">
                  <c:v>1600.019278</c:v>
                </c:pt>
                <c:pt idx="21">
                  <c:v>2014.313892</c:v>
                </c:pt>
                <c:pt idx="22">
                  <c:v>2536.107678</c:v>
                </c:pt>
                <c:pt idx="23">
                  <c:v>3192.521598</c:v>
                </c:pt>
                <c:pt idx="24">
                  <c:v>4019.460315</c:v>
                </c:pt>
                <c:pt idx="25">
                  <c:v>5059.790831</c:v>
                </c:pt>
                <c:pt idx="26">
                  <c:v>6369.735421</c:v>
                </c:pt>
                <c:pt idx="27">
                  <c:v>8019.263685</c:v>
                </c:pt>
                <c:pt idx="28">
                  <c:v>10096.471541</c:v>
                </c:pt>
                <c:pt idx="29">
                  <c:v>12710.556156</c:v>
                </c:pt>
                <c:pt idx="30">
                  <c:v>16000.960204</c:v>
                </c:pt>
                <c:pt idx="31">
                  <c:v>16.001451</c:v>
                </c:pt>
                <c:pt idx="32">
                  <c:v>20.143118</c:v>
                </c:pt>
                <c:pt idx="33">
                  <c:v>25.362768</c:v>
                </c:pt>
                <c:pt idx="34">
                  <c:v>31.929302</c:v>
                </c:pt>
                <c:pt idx="35">
                  <c:v>40.195312</c:v>
                </c:pt>
                <c:pt idx="36">
                  <c:v>50.597405</c:v>
                </c:pt>
                <c:pt idx="37">
                  <c:v>63.69847</c:v>
                </c:pt>
                <c:pt idx="38">
                  <c:v>80.201261</c:v>
                </c:pt>
                <c:pt idx="39">
                  <c:v>100.968027</c:v>
                </c:pt>
                <c:pt idx="40">
                  <c:v>127.10439</c:v>
                </c:pt>
                <c:pt idx="41">
                  <c:v>160.007022</c:v>
                </c:pt>
                <c:pt idx="42">
                  <c:v>201.456349</c:v>
                </c:pt>
                <c:pt idx="43">
                  <c:v>253.585211</c:v>
                </c:pt>
                <c:pt idx="44">
                  <c:v>319.290075</c:v>
                </c:pt>
                <c:pt idx="45">
                  <c:v>401.94414</c:v>
                </c:pt>
                <c:pt idx="46">
                  <c:v>506.015299</c:v>
                </c:pt>
                <c:pt idx="47">
                  <c:v>636.97723</c:v>
                </c:pt>
                <c:pt idx="48">
                  <c:v>801.911445</c:v>
                </c:pt>
                <c:pt idx="49">
                  <c:v>1009.546788</c:v>
                </c:pt>
                <c:pt idx="50">
                  <c:v>1271.06546</c:v>
                </c:pt>
                <c:pt idx="51">
                  <c:v>1600.019278</c:v>
                </c:pt>
                <c:pt idx="52">
                  <c:v>2014.313892</c:v>
                </c:pt>
                <c:pt idx="53">
                  <c:v>2536.107678</c:v>
                </c:pt>
                <c:pt idx="54">
                  <c:v>3192.521598</c:v>
                </c:pt>
                <c:pt idx="55">
                  <c:v>4019.460315</c:v>
                </c:pt>
                <c:pt idx="56">
                  <c:v>5059.790831</c:v>
                </c:pt>
                <c:pt idx="57">
                  <c:v>6369.735421</c:v>
                </c:pt>
                <c:pt idx="58">
                  <c:v>8019.263685</c:v>
                </c:pt>
                <c:pt idx="59">
                  <c:v>10096.471541</c:v>
                </c:pt>
                <c:pt idx="60">
                  <c:v>12710.556156</c:v>
                </c:pt>
                <c:pt idx="61">
                  <c:v>16000.960204</c:v>
                </c:pt>
              </c:numCache>
            </c:numRef>
          </c:xVal>
          <c:yVal>
            <c:numRef>
              <c:f>'Measured RIAA Response'!$P$13:$P$74</c:f>
              <c:numCache>
                <c:formatCode>General</c:formatCode>
                <c:ptCount val="62"/>
                <c:pt idx="0">
                  <c:v>132.1553233291442</c:v>
                </c:pt>
                <c:pt idx="1">
                  <c:v>132.1744288758584</c:v>
                </c:pt>
                <c:pt idx="2">
                  <c:v>132.18631110161</c:v>
                </c:pt>
                <c:pt idx="3">
                  <c:v>132.1941293333538</c:v>
                </c:pt>
                <c:pt idx="4">
                  <c:v>132.1990232738889</c:v>
                </c:pt>
                <c:pt idx="5">
                  <c:v>132.2021833390851</c:v>
                </c:pt>
                <c:pt idx="6">
                  <c:v>132.2042051031017</c:v>
                </c:pt>
                <c:pt idx="7">
                  <c:v>132.2054258251439</c:v>
                </c:pt>
                <c:pt idx="8">
                  <c:v>132.2061880683881</c:v>
                </c:pt>
                <c:pt idx="9">
                  <c:v>132.2066076931494</c:v>
                </c:pt>
                <c:pt idx="10">
                  <c:v>132.2069460299394</c:v>
                </c:pt>
                <c:pt idx="11">
                  <c:v>132.2068928125065</c:v>
                </c:pt>
                <c:pt idx="12">
                  <c:v>132.2067104868843</c:v>
                </c:pt>
                <c:pt idx="13">
                  <c:v>132.2064649036966</c:v>
                </c:pt>
                <c:pt idx="14">
                  <c:v>132.2060279249765</c:v>
                </c:pt>
                <c:pt idx="15">
                  <c:v>132.2054634693548</c:v>
                </c:pt>
                <c:pt idx="16">
                  <c:v>132.2048373426102</c:v>
                </c:pt>
                <c:pt idx="17">
                  <c:v>132.204450157985</c:v>
                </c:pt>
                <c:pt idx="18">
                  <c:v>132.2043407858566</c:v>
                </c:pt>
                <c:pt idx="19">
                  <c:v>132.2040652491354</c:v>
                </c:pt>
                <c:pt idx="20">
                  <c:v>132.2017835020074</c:v>
                </c:pt>
                <c:pt idx="21">
                  <c:v>132.1970678715129</c:v>
                </c:pt>
                <c:pt idx="22">
                  <c:v>132.1935437391455</c:v>
                </c:pt>
                <c:pt idx="23">
                  <c:v>132.1854075185755</c:v>
                </c:pt>
                <c:pt idx="24">
                  <c:v>132.1755918007771</c:v>
                </c:pt>
                <c:pt idx="25">
                  <c:v>132.1584560380803</c:v>
                </c:pt>
                <c:pt idx="26">
                  <c:v>132.1369333405534</c:v>
                </c:pt>
                <c:pt idx="27">
                  <c:v>132.1115904705143</c:v>
                </c:pt>
                <c:pt idx="28">
                  <c:v>132.0817442225375</c:v>
                </c:pt>
                <c:pt idx="29">
                  <c:v>132.0515212911037</c:v>
                </c:pt>
                <c:pt idx="30">
                  <c:v>132.0026291431396</c:v>
                </c:pt>
                <c:pt idx="31">
                  <c:v>133.7685029543152</c:v>
                </c:pt>
                <c:pt idx="32">
                  <c:v>133.8553929380462</c:v>
                </c:pt>
                <c:pt idx="33">
                  <c:v>133.9125390457558</c:v>
                </c:pt>
                <c:pt idx="34">
                  <c:v>133.9466732329635</c:v>
                </c:pt>
                <c:pt idx="35">
                  <c:v>133.9691714409547</c:v>
                </c:pt>
                <c:pt idx="36">
                  <c:v>133.9859954701834</c:v>
                </c:pt>
                <c:pt idx="37">
                  <c:v>133.9934713338824</c:v>
                </c:pt>
                <c:pt idx="38">
                  <c:v>133.9994811559048</c:v>
                </c:pt>
                <c:pt idx="39">
                  <c:v>134.003402051856</c:v>
                </c:pt>
                <c:pt idx="40">
                  <c:v>134.0068200787612</c:v>
                </c:pt>
                <c:pt idx="41">
                  <c:v>134.0093311530784</c:v>
                </c:pt>
                <c:pt idx="42">
                  <c:v>134.0115650758831</c:v>
                </c:pt>
                <c:pt idx="43">
                  <c:v>134.0128414561895</c:v>
                </c:pt>
                <c:pt idx="44">
                  <c:v>134.0135326635322</c:v>
                </c:pt>
                <c:pt idx="45">
                  <c:v>134.0138296802984</c:v>
                </c:pt>
                <c:pt idx="46">
                  <c:v>134.0131409614627</c:v>
                </c:pt>
                <c:pt idx="47">
                  <c:v>134.0118815061642</c:v>
                </c:pt>
                <c:pt idx="48">
                  <c:v>134.0093212132328</c:v>
                </c:pt>
                <c:pt idx="49">
                  <c:v>134.0076113958377</c:v>
                </c:pt>
                <c:pt idx="50">
                  <c:v>134.0047534426955</c:v>
                </c:pt>
                <c:pt idx="51">
                  <c:v>133.9999096557312</c:v>
                </c:pt>
                <c:pt idx="52">
                  <c:v>133.9931074478438</c:v>
                </c:pt>
                <c:pt idx="53">
                  <c:v>133.9884476768017</c:v>
                </c:pt>
                <c:pt idx="54">
                  <c:v>133.9795772096185</c:v>
                </c:pt>
                <c:pt idx="55">
                  <c:v>133.9693901175606</c:v>
                </c:pt>
                <c:pt idx="56">
                  <c:v>133.9515196680727</c:v>
                </c:pt>
                <c:pt idx="57">
                  <c:v>133.93033879652</c:v>
                </c:pt>
                <c:pt idx="58">
                  <c:v>133.9057609891261</c:v>
                </c:pt>
                <c:pt idx="59">
                  <c:v>133.8781363704127</c:v>
                </c:pt>
                <c:pt idx="60">
                  <c:v>133.848897185461</c:v>
                </c:pt>
                <c:pt idx="61">
                  <c:v>133.8027788406062</c:v>
                </c:pt>
              </c:numCache>
            </c:numRef>
          </c:yVal>
          <c:smooth val="0"/>
        </c:ser>
        <c:ser>
          <c:idx val="3"/>
          <c:order val="3"/>
          <c:tx>
            <c:v>Right Quiet (dB)</c:v>
          </c:tx>
          <c:spPr>
            <a:ln w="47625">
              <a:noFill/>
            </a:ln>
          </c:spPr>
          <c:xVal>
            <c:numRef>
              <c:f>'Measured RIAA Response'!$A$13:$A$74</c:f>
              <c:numCache>
                <c:formatCode>General</c:formatCode>
                <c:ptCount val="62"/>
                <c:pt idx="0">
                  <c:v>16.001451</c:v>
                </c:pt>
                <c:pt idx="1">
                  <c:v>20.143118</c:v>
                </c:pt>
                <c:pt idx="2">
                  <c:v>25.362768</c:v>
                </c:pt>
                <c:pt idx="3">
                  <c:v>31.929302</c:v>
                </c:pt>
                <c:pt idx="4">
                  <c:v>40.195312</c:v>
                </c:pt>
                <c:pt idx="5">
                  <c:v>50.597405</c:v>
                </c:pt>
                <c:pt idx="6">
                  <c:v>63.69847</c:v>
                </c:pt>
                <c:pt idx="7">
                  <c:v>80.201261</c:v>
                </c:pt>
                <c:pt idx="8">
                  <c:v>100.968027</c:v>
                </c:pt>
                <c:pt idx="9">
                  <c:v>127.10439</c:v>
                </c:pt>
                <c:pt idx="10">
                  <c:v>160.007022</c:v>
                </c:pt>
                <c:pt idx="11">
                  <c:v>201.456349</c:v>
                </c:pt>
                <c:pt idx="12">
                  <c:v>253.585211</c:v>
                </c:pt>
                <c:pt idx="13">
                  <c:v>319.290075</c:v>
                </c:pt>
                <c:pt idx="14">
                  <c:v>401.94414</c:v>
                </c:pt>
                <c:pt idx="15">
                  <c:v>506.015299</c:v>
                </c:pt>
                <c:pt idx="16">
                  <c:v>636.97723</c:v>
                </c:pt>
                <c:pt idx="17">
                  <c:v>801.911445</c:v>
                </c:pt>
                <c:pt idx="18">
                  <c:v>1009.546788</c:v>
                </c:pt>
                <c:pt idx="19">
                  <c:v>1271.06546</c:v>
                </c:pt>
                <c:pt idx="20">
                  <c:v>1600.019278</c:v>
                </c:pt>
                <c:pt idx="21">
                  <c:v>2014.313892</c:v>
                </c:pt>
                <c:pt idx="22">
                  <c:v>2536.107678</c:v>
                </c:pt>
                <c:pt idx="23">
                  <c:v>3192.521598</c:v>
                </c:pt>
                <c:pt idx="24">
                  <c:v>4019.460315</c:v>
                </c:pt>
                <c:pt idx="25">
                  <c:v>5059.790831</c:v>
                </c:pt>
                <c:pt idx="26">
                  <c:v>6369.735421</c:v>
                </c:pt>
                <c:pt idx="27">
                  <c:v>8019.263685</c:v>
                </c:pt>
                <c:pt idx="28">
                  <c:v>10096.471541</c:v>
                </c:pt>
                <c:pt idx="29">
                  <c:v>12710.556156</c:v>
                </c:pt>
                <c:pt idx="30">
                  <c:v>16000.960204</c:v>
                </c:pt>
                <c:pt idx="31">
                  <c:v>16.001451</c:v>
                </c:pt>
                <c:pt idx="32">
                  <c:v>20.143118</c:v>
                </c:pt>
                <c:pt idx="33">
                  <c:v>25.362768</c:v>
                </c:pt>
                <c:pt idx="34">
                  <c:v>31.929302</c:v>
                </c:pt>
                <c:pt idx="35">
                  <c:v>40.195312</c:v>
                </c:pt>
                <c:pt idx="36">
                  <c:v>50.597405</c:v>
                </c:pt>
                <c:pt idx="37">
                  <c:v>63.69847</c:v>
                </c:pt>
                <c:pt idx="38">
                  <c:v>80.201261</c:v>
                </c:pt>
                <c:pt idx="39">
                  <c:v>100.968027</c:v>
                </c:pt>
                <c:pt idx="40">
                  <c:v>127.10439</c:v>
                </c:pt>
                <c:pt idx="41">
                  <c:v>160.007022</c:v>
                </c:pt>
                <c:pt idx="42">
                  <c:v>201.456349</c:v>
                </c:pt>
                <c:pt idx="43">
                  <c:v>253.585211</c:v>
                </c:pt>
                <c:pt idx="44">
                  <c:v>319.290075</c:v>
                </c:pt>
                <c:pt idx="45">
                  <c:v>401.94414</c:v>
                </c:pt>
                <c:pt idx="46">
                  <c:v>506.015299</c:v>
                </c:pt>
                <c:pt idx="47">
                  <c:v>636.97723</c:v>
                </c:pt>
                <c:pt idx="48">
                  <c:v>801.911445</c:v>
                </c:pt>
                <c:pt idx="49">
                  <c:v>1009.546788</c:v>
                </c:pt>
                <c:pt idx="50">
                  <c:v>1271.06546</c:v>
                </c:pt>
                <c:pt idx="51">
                  <c:v>1600.019278</c:v>
                </c:pt>
                <c:pt idx="52">
                  <c:v>2014.313892</c:v>
                </c:pt>
                <c:pt idx="53">
                  <c:v>2536.107678</c:v>
                </c:pt>
                <c:pt idx="54">
                  <c:v>3192.521598</c:v>
                </c:pt>
                <c:pt idx="55">
                  <c:v>4019.460315</c:v>
                </c:pt>
                <c:pt idx="56">
                  <c:v>5059.790831</c:v>
                </c:pt>
                <c:pt idx="57">
                  <c:v>6369.735421</c:v>
                </c:pt>
                <c:pt idx="58">
                  <c:v>8019.263685</c:v>
                </c:pt>
                <c:pt idx="59">
                  <c:v>10096.471541</c:v>
                </c:pt>
                <c:pt idx="60">
                  <c:v>12710.556156</c:v>
                </c:pt>
                <c:pt idx="61">
                  <c:v>16000.960204</c:v>
                </c:pt>
              </c:numCache>
            </c:numRef>
          </c:xVal>
          <c:yVal>
            <c:numRef>
              <c:f>'Measured RIAA Response'!$Q$13:$Q$74</c:f>
              <c:numCache>
                <c:formatCode>General</c:formatCode>
                <c:ptCount val="62"/>
                <c:pt idx="0">
                  <c:v>-6.907023120628461</c:v>
                </c:pt>
                <c:pt idx="1">
                  <c:v>1.803672814749037</c:v>
                </c:pt>
                <c:pt idx="2">
                  <c:v>-6.982382488339478</c:v>
                </c:pt>
                <c:pt idx="3">
                  <c:v>-9.740624433449697</c:v>
                </c:pt>
                <c:pt idx="4">
                  <c:v>-12.23729326092436</c:v>
                </c:pt>
                <c:pt idx="5">
                  <c:v>19.91378563142457</c:v>
                </c:pt>
                <c:pt idx="6">
                  <c:v>-1.276759617471639</c:v>
                </c:pt>
                <c:pt idx="7">
                  <c:v>-1.36223365821439</c:v>
                </c:pt>
                <c:pt idx="8">
                  <c:v>-0.87019046417976</c:v>
                </c:pt>
                <c:pt idx="9">
                  <c:v>-5.655646378469745</c:v>
                </c:pt>
                <c:pt idx="10">
                  <c:v>-5.700090885340662</c:v>
                </c:pt>
                <c:pt idx="11">
                  <c:v>-8.65941243739562</c:v>
                </c:pt>
                <c:pt idx="12">
                  <c:v>-12.82278693972479</c:v>
                </c:pt>
                <c:pt idx="13">
                  <c:v>-2.070544250054265</c:v>
                </c:pt>
                <c:pt idx="14">
                  <c:v>-14.90725359246201</c:v>
                </c:pt>
                <c:pt idx="15">
                  <c:v>1.879947684519641</c:v>
                </c:pt>
                <c:pt idx="16">
                  <c:v>-6.362179728875715</c:v>
                </c:pt>
                <c:pt idx="17">
                  <c:v>-11.80312607790729</c:v>
                </c:pt>
                <c:pt idx="18">
                  <c:v>-11.85837682586583</c:v>
                </c:pt>
                <c:pt idx="19">
                  <c:v>0.687677647047365</c:v>
                </c:pt>
                <c:pt idx="20">
                  <c:v>0.0912344500596383</c:v>
                </c:pt>
                <c:pt idx="21">
                  <c:v>-2.028578559870558</c:v>
                </c:pt>
                <c:pt idx="22">
                  <c:v>-4.083599220408656</c:v>
                </c:pt>
                <c:pt idx="23">
                  <c:v>-7.616738622198301</c:v>
                </c:pt>
                <c:pt idx="24">
                  <c:v>-3.373714439653003</c:v>
                </c:pt>
                <c:pt idx="25">
                  <c:v>-7.346823320739687</c:v>
                </c:pt>
                <c:pt idx="26">
                  <c:v>-0.841154385135616</c:v>
                </c:pt>
                <c:pt idx="27">
                  <c:v>1.453584107370751</c:v>
                </c:pt>
                <c:pt idx="28">
                  <c:v>-0.12916671366483</c:v>
                </c:pt>
                <c:pt idx="29">
                  <c:v>-5.142745686053226</c:v>
                </c:pt>
                <c:pt idx="30">
                  <c:v>0.797657694775556</c:v>
                </c:pt>
                <c:pt idx="31">
                  <c:v>42.12400155846603</c:v>
                </c:pt>
                <c:pt idx="32">
                  <c:v>52.55214979384036</c:v>
                </c:pt>
                <c:pt idx="33">
                  <c:v>48.51234741190345</c:v>
                </c:pt>
                <c:pt idx="34">
                  <c:v>61.34145733954299</c:v>
                </c:pt>
                <c:pt idx="35">
                  <c:v>48.333120387908</c:v>
                </c:pt>
                <c:pt idx="36">
                  <c:v>61.3080320466277</c:v>
                </c:pt>
                <c:pt idx="37">
                  <c:v>39.63694867651249</c:v>
                </c:pt>
                <c:pt idx="38">
                  <c:v>35.39174527543626</c:v>
                </c:pt>
                <c:pt idx="39">
                  <c:v>47.87517817641029</c:v>
                </c:pt>
                <c:pt idx="40">
                  <c:v>24.8239623759233</c:v>
                </c:pt>
                <c:pt idx="41">
                  <c:v>22.16150502621468</c:v>
                </c:pt>
                <c:pt idx="42">
                  <c:v>30.10595772904092</c:v>
                </c:pt>
                <c:pt idx="43">
                  <c:v>33.83836392719872</c:v>
                </c:pt>
                <c:pt idx="44">
                  <c:v>26.61617364911491</c:v>
                </c:pt>
                <c:pt idx="45">
                  <c:v>24.28198041635509</c:v>
                </c:pt>
                <c:pt idx="46">
                  <c:v>22.5976417903797</c:v>
                </c:pt>
                <c:pt idx="47">
                  <c:v>24.78976330740761</c:v>
                </c:pt>
                <c:pt idx="48">
                  <c:v>21.4420391873836</c:v>
                </c:pt>
                <c:pt idx="49">
                  <c:v>18.15698945472037</c:v>
                </c:pt>
                <c:pt idx="50">
                  <c:v>15.3221634639719</c:v>
                </c:pt>
                <c:pt idx="51">
                  <c:v>11.71244775747401</c:v>
                </c:pt>
                <c:pt idx="52">
                  <c:v>14.09155272606104</c:v>
                </c:pt>
                <c:pt idx="53">
                  <c:v>20.01153450303896</c:v>
                </c:pt>
                <c:pt idx="54">
                  <c:v>16.9292197951812</c:v>
                </c:pt>
                <c:pt idx="55">
                  <c:v>8.637266465039349</c:v>
                </c:pt>
                <c:pt idx="56">
                  <c:v>9.025920154218985</c:v>
                </c:pt>
                <c:pt idx="57">
                  <c:v>0.275250421133377</c:v>
                </c:pt>
                <c:pt idx="58">
                  <c:v>14.09400833399492</c:v>
                </c:pt>
                <c:pt idx="59">
                  <c:v>9.203959934963153</c:v>
                </c:pt>
                <c:pt idx="60">
                  <c:v>0.450465881308816</c:v>
                </c:pt>
                <c:pt idx="61">
                  <c:v>5.587026360166333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41846616"/>
        <c:axId val="2136739944"/>
      </c:scatterChart>
      <c:valAx>
        <c:axId val="-2141846616"/>
        <c:scaling>
          <c:logBase val="10.0"/>
          <c:orientation val="minMax"/>
          <c:max val="16000.0"/>
          <c:min val="16.0"/>
        </c:scaling>
        <c:delete val="0"/>
        <c:axPos val="b"/>
        <c:majorGridlines/>
        <c:minorGridlines/>
        <c:numFmt formatCode="General" sourceLinked="1"/>
        <c:majorTickMark val="out"/>
        <c:minorTickMark val="cross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2136739944"/>
        <c:crossesAt val="-35.0"/>
        <c:crossBetween val="midCat"/>
      </c:valAx>
      <c:valAx>
        <c:axId val="2136739944"/>
        <c:scaling>
          <c:orientation val="minMax"/>
          <c:max val="140.0"/>
          <c:min val="-35.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-2141846616"/>
        <c:crosses val="autoZero"/>
        <c:crossBetween val="midCat"/>
        <c:majorUnit val="25.0"/>
      </c:valAx>
    </c:plotArea>
    <c:legend>
      <c:legendPos val="b"/>
      <c:layout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RIAA</a:t>
            </a:r>
            <a:r>
              <a:rPr lang="en-US" baseline="0"/>
              <a:t> Deemphasis and Background</a:t>
            </a:r>
          </a:p>
          <a:p>
            <a:pPr>
              <a:defRPr/>
            </a:pPr>
            <a:r>
              <a:rPr lang="en-US" baseline="0"/>
              <a:t>6 June 2026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571893413985503"/>
          <c:y val="0.184568159448819"/>
          <c:w val="0.784335271418887"/>
          <c:h val="0.63271442632171"/>
        </c:manualLayout>
      </c:layout>
      <c:scatterChart>
        <c:scatterStyle val="lineMarker"/>
        <c:varyColors val="0"/>
        <c:ser>
          <c:idx val="0"/>
          <c:order val="0"/>
          <c:tx>
            <c:v>Left RIAA (dB)</c:v>
          </c:tx>
          <c:xVal>
            <c:numRef>
              <c:f>'Measured RIAA Response'!$I$80:$I$110</c:f>
              <c:numCache>
                <c:formatCode>General</c:formatCode>
                <c:ptCount val="31"/>
                <c:pt idx="0">
                  <c:v>16.001451</c:v>
                </c:pt>
                <c:pt idx="1">
                  <c:v>20.143118</c:v>
                </c:pt>
                <c:pt idx="2">
                  <c:v>25.362768</c:v>
                </c:pt>
                <c:pt idx="3">
                  <c:v>31.929302</c:v>
                </c:pt>
                <c:pt idx="4">
                  <c:v>40.195312</c:v>
                </c:pt>
                <c:pt idx="5">
                  <c:v>50.597405</c:v>
                </c:pt>
                <c:pt idx="6">
                  <c:v>63.69847</c:v>
                </c:pt>
                <c:pt idx="7">
                  <c:v>80.201261</c:v>
                </c:pt>
                <c:pt idx="8">
                  <c:v>100.968027</c:v>
                </c:pt>
                <c:pt idx="9">
                  <c:v>127.10439</c:v>
                </c:pt>
                <c:pt idx="10">
                  <c:v>160.007022</c:v>
                </c:pt>
                <c:pt idx="11">
                  <c:v>201.456349</c:v>
                </c:pt>
                <c:pt idx="12">
                  <c:v>253.585211</c:v>
                </c:pt>
                <c:pt idx="13">
                  <c:v>319.290075</c:v>
                </c:pt>
                <c:pt idx="14">
                  <c:v>401.94414</c:v>
                </c:pt>
                <c:pt idx="15">
                  <c:v>506.015299</c:v>
                </c:pt>
                <c:pt idx="16">
                  <c:v>636.97723</c:v>
                </c:pt>
                <c:pt idx="17">
                  <c:v>801.911445</c:v>
                </c:pt>
                <c:pt idx="18">
                  <c:v>1009.546788</c:v>
                </c:pt>
                <c:pt idx="19">
                  <c:v>1271.06546</c:v>
                </c:pt>
                <c:pt idx="20">
                  <c:v>1600.019278</c:v>
                </c:pt>
                <c:pt idx="21">
                  <c:v>2014.313892</c:v>
                </c:pt>
                <c:pt idx="22">
                  <c:v>2536.107678</c:v>
                </c:pt>
                <c:pt idx="23">
                  <c:v>3192.521598</c:v>
                </c:pt>
                <c:pt idx="24">
                  <c:v>4019.460315</c:v>
                </c:pt>
                <c:pt idx="25">
                  <c:v>5059.790831</c:v>
                </c:pt>
                <c:pt idx="26">
                  <c:v>6369.735421</c:v>
                </c:pt>
                <c:pt idx="27">
                  <c:v>8019.263685</c:v>
                </c:pt>
                <c:pt idx="28">
                  <c:v>10096.471541</c:v>
                </c:pt>
                <c:pt idx="29">
                  <c:v>12710.556156</c:v>
                </c:pt>
                <c:pt idx="30">
                  <c:v>16000.960204</c:v>
                </c:pt>
              </c:numCache>
            </c:numRef>
          </c:xVal>
          <c:yVal>
            <c:numRef>
              <c:f>'Measured RIAA Response'!$N$80:$N$110</c:f>
              <c:numCache>
                <c:formatCode>General</c:formatCode>
                <c:ptCount val="31"/>
                <c:pt idx="0">
                  <c:v>1.64460791769961</c:v>
                </c:pt>
                <c:pt idx="1">
                  <c:v>1.70515486083573</c:v>
                </c:pt>
                <c:pt idx="2">
                  <c:v>1.745079063089538</c:v>
                </c:pt>
                <c:pt idx="3">
                  <c:v>1.769799866341</c:v>
                </c:pt>
                <c:pt idx="4">
                  <c:v>1.786068852592347</c:v>
                </c:pt>
                <c:pt idx="5">
                  <c:v>1.797588512908772</c:v>
                </c:pt>
                <c:pt idx="6">
                  <c:v>1.805250246014604</c:v>
                </c:pt>
                <c:pt idx="7">
                  <c:v>1.81094249115254</c:v>
                </c:pt>
                <c:pt idx="8">
                  <c:v>1.814328035049075</c:v>
                </c:pt>
                <c:pt idx="9">
                  <c:v>1.817577729116179</c:v>
                </c:pt>
                <c:pt idx="10">
                  <c:v>1.819754058600674</c:v>
                </c:pt>
                <c:pt idx="11">
                  <c:v>1.821639729538111</c:v>
                </c:pt>
                <c:pt idx="12">
                  <c:v>1.822454673873817</c:v>
                </c:pt>
                <c:pt idx="13">
                  <c:v>1.822526403219069</c:v>
                </c:pt>
                <c:pt idx="14">
                  <c:v>1.822406844395464</c:v>
                </c:pt>
                <c:pt idx="15">
                  <c:v>1.82023957074668</c:v>
                </c:pt>
                <c:pt idx="16">
                  <c:v>1.818055054583497</c:v>
                </c:pt>
                <c:pt idx="17">
                  <c:v>1.812939717707637</c:v>
                </c:pt>
                <c:pt idx="18">
                  <c:v>1.80832507875774</c:v>
                </c:pt>
                <c:pt idx="19">
                  <c:v>1.801571815350778</c:v>
                </c:pt>
                <c:pt idx="20">
                  <c:v>1.793645567667261</c:v>
                </c:pt>
                <c:pt idx="21">
                  <c:v>1.785456624690366</c:v>
                </c:pt>
                <c:pt idx="22">
                  <c:v>1.777730463092631</c:v>
                </c:pt>
                <c:pt idx="23">
                  <c:v>1.771573638795289</c:v>
                </c:pt>
                <c:pt idx="24">
                  <c:v>1.764481531394602</c:v>
                </c:pt>
                <c:pt idx="25">
                  <c:v>1.762670877181318</c:v>
                </c:pt>
                <c:pt idx="26">
                  <c:v>1.7583818830354</c:v>
                </c:pt>
                <c:pt idx="27">
                  <c:v>1.756933326497492</c:v>
                </c:pt>
                <c:pt idx="28">
                  <c:v>1.757339349676366</c:v>
                </c:pt>
                <c:pt idx="29">
                  <c:v>1.756728471342165</c:v>
                </c:pt>
                <c:pt idx="30">
                  <c:v>1.757836056482555</c:v>
                </c:pt>
              </c:numCache>
            </c:numRef>
          </c:yVal>
          <c:smooth val="0"/>
        </c:ser>
        <c:ser>
          <c:idx val="1"/>
          <c:order val="1"/>
          <c:tx>
            <c:v>Left Quiet (dB)</c:v>
          </c:tx>
          <c:xVal>
            <c:numRef>
              <c:f>'Measured RIAA Response'!$I$80:$I$110</c:f>
              <c:numCache>
                <c:formatCode>General</c:formatCode>
                <c:ptCount val="31"/>
                <c:pt idx="0">
                  <c:v>16.001451</c:v>
                </c:pt>
                <c:pt idx="1">
                  <c:v>20.143118</c:v>
                </c:pt>
                <c:pt idx="2">
                  <c:v>25.362768</c:v>
                </c:pt>
                <c:pt idx="3">
                  <c:v>31.929302</c:v>
                </c:pt>
                <c:pt idx="4">
                  <c:v>40.195312</c:v>
                </c:pt>
                <c:pt idx="5">
                  <c:v>50.597405</c:v>
                </c:pt>
                <c:pt idx="6">
                  <c:v>63.69847</c:v>
                </c:pt>
                <c:pt idx="7">
                  <c:v>80.201261</c:v>
                </c:pt>
                <c:pt idx="8">
                  <c:v>100.968027</c:v>
                </c:pt>
                <c:pt idx="9">
                  <c:v>127.10439</c:v>
                </c:pt>
                <c:pt idx="10">
                  <c:v>160.007022</c:v>
                </c:pt>
                <c:pt idx="11">
                  <c:v>201.456349</c:v>
                </c:pt>
                <c:pt idx="12">
                  <c:v>253.585211</c:v>
                </c:pt>
                <c:pt idx="13">
                  <c:v>319.290075</c:v>
                </c:pt>
                <c:pt idx="14">
                  <c:v>401.94414</c:v>
                </c:pt>
                <c:pt idx="15">
                  <c:v>506.015299</c:v>
                </c:pt>
                <c:pt idx="16">
                  <c:v>636.97723</c:v>
                </c:pt>
                <c:pt idx="17">
                  <c:v>801.911445</c:v>
                </c:pt>
                <c:pt idx="18">
                  <c:v>1009.546788</c:v>
                </c:pt>
                <c:pt idx="19">
                  <c:v>1271.06546</c:v>
                </c:pt>
                <c:pt idx="20">
                  <c:v>1600.019278</c:v>
                </c:pt>
                <c:pt idx="21">
                  <c:v>2014.313892</c:v>
                </c:pt>
                <c:pt idx="22">
                  <c:v>2536.107678</c:v>
                </c:pt>
                <c:pt idx="23">
                  <c:v>3192.521598</c:v>
                </c:pt>
                <c:pt idx="24">
                  <c:v>4019.460315</c:v>
                </c:pt>
                <c:pt idx="25">
                  <c:v>5059.790831</c:v>
                </c:pt>
                <c:pt idx="26">
                  <c:v>6369.735421</c:v>
                </c:pt>
                <c:pt idx="27">
                  <c:v>8019.263685</c:v>
                </c:pt>
                <c:pt idx="28">
                  <c:v>10096.471541</c:v>
                </c:pt>
                <c:pt idx="29">
                  <c:v>12710.556156</c:v>
                </c:pt>
                <c:pt idx="30">
                  <c:v>16000.960204</c:v>
                </c:pt>
              </c:numCache>
            </c:numRef>
          </c:xVal>
          <c:yVal>
            <c:numRef>
              <c:f>'Measured RIAA Response'!$O$80:$O$110</c:f>
              <c:numCache>
                <c:formatCode>General</c:formatCode>
                <c:ptCount val="31"/>
                <c:pt idx="0">
                  <c:v>-88.18186418254244</c:v>
                </c:pt>
                <c:pt idx="1">
                  <c:v>-80.031009004516</c:v>
                </c:pt>
                <c:pt idx="2">
                  <c:v>-86.62233145934024</c:v>
                </c:pt>
                <c:pt idx="3">
                  <c:v>-67.83102871268484</c:v>
                </c:pt>
                <c:pt idx="4">
                  <c:v>-75.61384920695352</c:v>
                </c:pt>
                <c:pt idx="5">
                  <c:v>-78.23459840754931</c:v>
                </c:pt>
                <c:pt idx="6">
                  <c:v>-96.5271719724298</c:v>
                </c:pt>
                <c:pt idx="7">
                  <c:v>-104.3297383211065</c:v>
                </c:pt>
                <c:pt idx="8">
                  <c:v>-82.07659480665467</c:v>
                </c:pt>
                <c:pt idx="9">
                  <c:v>-110.0045076430294</c:v>
                </c:pt>
                <c:pt idx="10">
                  <c:v>-104.7196860954744</c:v>
                </c:pt>
                <c:pt idx="11">
                  <c:v>-103.0348875636268</c:v>
                </c:pt>
                <c:pt idx="12">
                  <c:v>-107.3527822547606</c:v>
                </c:pt>
                <c:pt idx="13">
                  <c:v>-105.4831713825603</c:v>
                </c:pt>
                <c:pt idx="14">
                  <c:v>-111.5304194688037</c:v>
                </c:pt>
                <c:pt idx="15">
                  <c:v>-110.1029138677534</c:v>
                </c:pt>
                <c:pt idx="16">
                  <c:v>-117.1566264784204</c:v>
                </c:pt>
                <c:pt idx="17">
                  <c:v>-107.9337909867139</c:v>
                </c:pt>
                <c:pt idx="18">
                  <c:v>-113.2997554793259</c:v>
                </c:pt>
                <c:pt idx="19">
                  <c:v>-113.0590663600611</c:v>
                </c:pt>
                <c:pt idx="20">
                  <c:v>-117.5611078205937</c:v>
                </c:pt>
                <c:pt idx="21">
                  <c:v>-117.9012022007417</c:v>
                </c:pt>
                <c:pt idx="22">
                  <c:v>-142.9557841643409</c:v>
                </c:pt>
                <c:pt idx="23">
                  <c:v>-116.5454906754592</c:v>
                </c:pt>
                <c:pt idx="24">
                  <c:v>-117.5874659839363</c:v>
                </c:pt>
                <c:pt idx="25">
                  <c:v>-133.4280783110727</c:v>
                </c:pt>
                <c:pt idx="26">
                  <c:v>-121.8683528686471</c:v>
                </c:pt>
                <c:pt idx="27">
                  <c:v>-124.6153149837066</c:v>
                </c:pt>
                <c:pt idx="28">
                  <c:v>-132.9971156396084</c:v>
                </c:pt>
                <c:pt idx="29">
                  <c:v>-124.9433429503209</c:v>
                </c:pt>
                <c:pt idx="30">
                  <c:v>-131.6067948835763</c:v>
                </c:pt>
              </c:numCache>
            </c:numRef>
          </c:yVal>
          <c:smooth val="0"/>
        </c:ser>
        <c:ser>
          <c:idx val="2"/>
          <c:order val="2"/>
          <c:tx>
            <c:v>Right RIAA (dB)</c:v>
          </c:tx>
          <c:xVal>
            <c:numRef>
              <c:f>'Measured RIAA Response'!$I$80:$I$110</c:f>
              <c:numCache>
                <c:formatCode>General</c:formatCode>
                <c:ptCount val="31"/>
                <c:pt idx="0">
                  <c:v>16.001451</c:v>
                </c:pt>
                <c:pt idx="1">
                  <c:v>20.143118</c:v>
                </c:pt>
                <c:pt idx="2">
                  <c:v>25.362768</c:v>
                </c:pt>
                <c:pt idx="3">
                  <c:v>31.929302</c:v>
                </c:pt>
                <c:pt idx="4">
                  <c:v>40.195312</c:v>
                </c:pt>
                <c:pt idx="5">
                  <c:v>50.597405</c:v>
                </c:pt>
                <c:pt idx="6">
                  <c:v>63.69847</c:v>
                </c:pt>
                <c:pt idx="7">
                  <c:v>80.201261</c:v>
                </c:pt>
                <c:pt idx="8">
                  <c:v>100.968027</c:v>
                </c:pt>
                <c:pt idx="9">
                  <c:v>127.10439</c:v>
                </c:pt>
                <c:pt idx="10">
                  <c:v>160.007022</c:v>
                </c:pt>
                <c:pt idx="11">
                  <c:v>201.456349</c:v>
                </c:pt>
                <c:pt idx="12">
                  <c:v>253.585211</c:v>
                </c:pt>
                <c:pt idx="13">
                  <c:v>319.290075</c:v>
                </c:pt>
                <c:pt idx="14">
                  <c:v>401.94414</c:v>
                </c:pt>
                <c:pt idx="15">
                  <c:v>506.015299</c:v>
                </c:pt>
                <c:pt idx="16">
                  <c:v>636.97723</c:v>
                </c:pt>
                <c:pt idx="17">
                  <c:v>801.911445</c:v>
                </c:pt>
                <c:pt idx="18">
                  <c:v>1009.546788</c:v>
                </c:pt>
                <c:pt idx="19">
                  <c:v>1271.06546</c:v>
                </c:pt>
                <c:pt idx="20">
                  <c:v>1600.019278</c:v>
                </c:pt>
                <c:pt idx="21">
                  <c:v>2014.313892</c:v>
                </c:pt>
                <c:pt idx="22">
                  <c:v>2536.107678</c:v>
                </c:pt>
                <c:pt idx="23">
                  <c:v>3192.521598</c:v>
                </c:pt>
                <c:pt idx="24">
                  <c:v>4019.460315</c:v>
                </c:pt>
                <c:pt idx="25">
                  <c:v>5059.790831</c:v>
                </c:pt>
                <c:pt idx="26">
                  <c:v>6369.735421</c:v>
                </c:pt>
                <c:pt idx="27">
                  <c:v>8019.263685</c:v>
                </c:pt>
                <c:pt idx="28">
                  <c:v>10096.471541</c:v>
                </c:pt>
                <c:pt idx="29">
                  <c:v>12710.556156</c:v>
                </c:pt>
                <c:pt idx="30">
                  <c:v>16000.960204</c:v>
                </c:pt>
              </c:numCache>
            </c:numRef>
          </c:xVal>
          <c:yVal>
            <c:numRef>
              <c:f>'Measured RIAA Response'!$P$80:$P$110</c:f>
              <c:numCache>
                <c:formatCode>General</c:formatCode>
                <c:ptCount val="31"/>
                <c:pt idx="0">
                  <c:v>1.613179625170913</c:v>
                </c:pt>
                <c:pt idx="1">
                  <c:v>1.680964062187866</c:v>
                </c:pt>
                <c:pt idx="2">
                  <c:v>1.72622794414578</c:v>
                </c:pt>
                <c:pt idx="3">
                  <c:v>1.752543899609704</c:v>
                </c:pt>
                <c:pt idx="4">
                  <c:v>1.77014816706576</c:v>
                </c:pt>
                <c:pt idx="5">
                  <c:v>1.783812131098279</c:v>
                </c:pt>
                <c:pt idx="6">
                  <c:v>1.78926623078071</c:v>
                </c:pt>
                <c:pt idx="7">
                  <c:v>1.794055330760887</c:v>
                </c:pt>
                <c:pt idx="8">
                  <c:v>1.797213983467848</c:v>
                </c:pt>
                <c:pt idx="9">
                  <c:v>1.800212385611787</c:v>
                </c:pt>
                <c:pt idx="10">
                  <c:v>1.802385123139063</c:v>
                </c:pt>
                <c:pt idx="11">
                  <c:v>1.804672263376564</c:v>
                </c:pt>
                <c:pt idx="12">
                  <c:v>1.80613096930524</c:v>
                </c:pt>
                <c:pt idx="13">
                  <c:v>1.807067759835581</c:v>
                </c:pt>
                <c:pt idx="14">
                  <c:v>1.807801755321815</c:v>
                </c:pt>
                <c:pt idx="15">
                  <c:v>1.807677492107896</c:v>
                </c:pt>
                <c:pt idx="16">
                  <c:v>1.80704416355398</c:v>
                </c:pt>
                <c:pt idx="17">
                  <c:v>1.80487105524783</c:v>
                </c:pt>
                <c:pt idx="18">
                  <c:v>1.803270609981024</c:v>
                </c:pt>
                <c:pt idx="19">
                  <c:v>1.800688193560065</c:v>
                </c:pt>
                <c:pt idx="20">
                  <c:v>1.798126153723766</c:v>
                </c:pt>
                <c:pt idx="21">
                  <c:v>1.796039576330928</c:v>
                </c:pt>
                <c:pt idx="22">
                  <c:v>1.794903937656121</c:v>
                </c:pt>
                <c:pt idx="23">
                  <c:v>1.794169691043119</c:v>
                </c:pt>
                <c:pt idx="24">
                  <c:v>1.79379831678353</c:v>
                </c:pt>
                <c:pt idx="25">
                  <c:v>1.793063629992384</c:v>
                </c:pt>
                <c:pt idx="26">
                  <c:v>1.793405455966681</c:v>
                </c:pt>
                <c:pt idx="27">
                  <c:v>1.794170518611799</c:v>
                </c:pt>
                <c:pt idx="28">
                  <c:v>1.79639214787529</c:v>
                </c:pt>
                <c:pt idx="29">
                  <c:v>1.797375894357351</c:v>
                </c:pt>
                <c:pt idx="30">
                  <c:v>1.800149697466653</c:v>
                </c:pt>
              </c:numCache>
            </c:numRef>
          </c:yVal>
          <c:smooth val="0"/>
        </c:ser>
        <c:ser>
          <c:idx val="3"/>
          <c:order val="3"/>
          <c:tx>
            <c:v>Right Quiet (dB)</c:v>
          </c:tx>
          <c:xVal>
            <c:numRef>
              <c:f>'Measured RIAA Response'!$I$80:$I$110</c:f>
              <c:numCache>
                <c:formatCode>General</c:formatCode>
                <c:ptCount val="31"/>
                <c:pt idx="0">
                  <c:v>16.001451</c:v>
                </c:pt>
                <c:pt idx="1">
                  <c:v>20.143118</c:v>
                </c:pt>
                <c:pt idx="2">
                  <c:v>25.362768</c:v>
                </c:pt>
                <c:pt idx="3">
                  <c:v>31.929302</c:v>
                </c:pt>
                <c:pt idx="4">
                  <c:v>40.195312</c:v>
                </c:pt>
                <c:pt idx="5">
                  <c:v>50.597405</c:v>
                </c:pt>
                <c:pt idx="6">
                  <c:v>63.69847</c:v>
                </c:pt>
                <c:pt idx="7">
                  <c:v>80.201261</c:v>
                </c:pt>
                <c:pt idx="8">
                  <c:v>100.968027</c:v>
                </c:pt>
                <c:pt idx="9">
                  <c:v>127.10439</c:v>
                </c:pt>
                <c:pt idx="10">
                  <c:v>160.007022</c:v>
                </c:pt>
                <c:pt idx="11">
                  <c:v>201.456349</c:v>
                </c:pt>
                <c:pt idx="12">
                  <c:v>253.585211</c:v>
                </c:pt>
                <c:pt idx="13">
                  <c:v>319.290075</c:v>
                </c:pt>
                <c:pt idx="14">
                  <c:v>401.94414</c:v>
                </c:pt>
                <c:pt idx="15">
                  <c:v>506.015299</c:v>
                </c:pt>
                <c:pt idx="16">
                  <c:v>636.97723</c:v>
                </c:pt>
                <c:pt idx="17">
                  <c:v>801.911445</c:v>
                </c:pt>
                <c:pt idx="18">
                  <c:v>1009.546788</c:v>
                </c:pt>
                <c:pt idx="19">
                  <c:v>1271.06546</c:v>
                </c:pt>
                <c:pt idx="20">
                  <c:v>1600.019278</c:v>
                </c:pt>
                <c:pt idx="21">
                  <c:v>2014.313892</c:v>
                </c:pt>
                <c:pt idx="22">
                  <c:v>2536.107678</c:v>
                </c:pt>
                <c:pt idx="23">
                  <c:v>3192.521598</c:v>
                </c:pt>
                <c:pt idx="24">
                  <c:v>4019.460315</c:v>
                </c:pt>
                <c:pt idx="25">
                  <c:v>5059.790831</c:v>
                </c:pt>
                <c:pt idx="26">
                  <c:v>6369.735421</c:v>
                </c:pt>
                <c:pt idx="27">
                  <c:v>8019.263685</c:v>
                </c:pt>
                <c:pt idx="28">
                  <c:v>10096.471541</c:v>
                </c:pt>
                <c:pt idx="29">
                  <c:v>12710.556156</c:v>
                </c:pt>
                <c:pt idx="30">
                  <c:v>16000.960204</c:v>
                </c:pt>
              </c:numCache>
            </c:numRef>
          </c:xVal>
          <c:yVal>
            <c:numRef>
              <c:f>'Measured RIAA Response'!$Q$80:$Q$110</c:f>
              <c:numCache>
                <c:formatCode>General</c:formatCode>
                <c:ptCount val="31"/>
                <c:pt idx="0">
                  <c:v>-90.03132177067818</c:v>
                </c:pt>
                <c:pt idx="1">
                  <c:v>-79.622279082018</c:v>
                </c:pt>
                <c:pt idx="2">
                  <c:v>-83.67396368970658</c:v>
                </c:pt>
                <c:pt idx="3">
                  <c:v>-70.85267199381077</c:v>
                </c:pt>
                <c:pt idx="4">
                  <c:v>-83.86590288598094</c:v>
                </c:pt>
                <c:pt idx="5">
                  <c:v>-70.89415129245747</c:v>
                </c:pt>
                <c:pt idx="6">
                  <c:v>-92.56725642658921</c:v>
                </c:pt>
                <c:pt idx="7">
                  <c:v>-96.81368054970764</c:v>
                </c:pt>
                <c:pt idx="8">
                  <c:v>-84.33100989197784</c:v>
                </c:pt>
                <c:pt idx="9">
                  <c:v>-107.3826453172261</c:v>
                </c:pt>
                <c:pt idx="10">
                  <c:v>-110.0454410037247</c:v>
                </c:pt>
                <c:pt idx="11">
                  <c:v>-102.1009350834655</c:v>
                </c:pt>
                <c:pt idx="12">
                  <c:v>-98.36834655968558</c:v>
                </c:pt>
                <c:pt idx="13">
                  <c:v>-105.5902912545817</c:v>
                </c:pt>
                <c:pt idx="14">
                  <c:v>-107.9240475086214</c:v>
                </c:pt>
                <c:pt idx="15">
                  <c:v>-109.6078216789751</c:v>
                </c:pt>
                <c:pt idx="16">
                  <c:v>-107.4150740352026</c:v>
                </c:pt>
                <c:pt idx="17">
                  <c:v>-110.7624109706014</c:v>
                </c:pt>
                <c:pt idx="18">
                  <c:v>-114.0473513311363</c:v>
                </c:pt>
                <c:pt idx="19">
                  <c:v>-116.8819017851635</c:v>
                </c:pt>
                <c:pt idx="20">
                  <c:v>-120.4893357445334</c:v>
                </c:pt>
                <c:pt idx="21">
                  <c:v>-118.1055151454518</c:v>
                </c:pt>
                <c:pt idx="22">
                  <c:v>-112.1820092361066</c:v>
                </c:pt>
                <c:pt idx="23">
                  <c:v>-115.2561877233943</c:v>
                </c:pt>
                <c:pt idx="24">
                  <c:v>-123.5383253357377</c:v>
                </c:pt>
                <c:pt idx="25">
                  <c:v>-123.1325358838614</c:v>
                </c:pt>
                <c:pt idx="26">
                  <c:v>-131.86168291942</c:v>
                </c:pt>
                <c:pt idx="27">
                  <c:v>-118.0175821365194</c:v>
                </c:pt>
                <c:pt idx="28">
                  <c:v>-122.8777842875743</c:v>
                </c:pt>
                <c:pt idx="29">
                  <c:v>-131.6010554097949</c:v>
                </c:pt>
                <c:pt idx="30">
                  <c:v>-126.4156027829733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40711992"/>
        <c:axId val="-2140619368"/>
      </c:scatterChart>
      <c:scatterChart>
        <c:scatterStyle val="lineMarker"/>
        <c:varyColors val="0"/>
        <c:ser>
          <c:idx val="4"/>
          <c:order val="4"/>
          <c:tx>
            <c:v>Left Phase (deg)</c:v>
          </c:tx>
          <c:xVal>
            <c:numRef>
              <c:f>'Measured RIAA Response'!$I$80:$I$110</c:f>
              <c:numCache>
                <c:formatCode>General</c:formatCode>
                <c:ptCount val="31"/>
                <c:pt idx="0">
                  <c:v>16.001451</c:v>
                </c:pt>
                <c:pt idx="1">
                  <c:v>20.143118</c:v>
                </c:pt>
                <c:pt idx="2">
                  <c:v>25.362768</c:v>
                </c:pt>
                <c:pt idx="3">
                  <c:v>31.929302</c:v>
                </c:pt>
                <c:pt idx="4">
                  <c:v>40.195312</c:v>
                </c:pt>
                <c:pt idx="5">
                  <c:v>50.597405</c:v>
                </c:pt>
                <c:pt idx="6">
                  <c:v>63.69847</c:v>
                </c:pt>
                <c:pt idx="7">
                  <c:v>80.201261</c:v>
                </c:pt>
                <c:pt idx="8">
                  <c:v>100.968027</c:v>
                </c:pt>
                <c:pt idx="9">
                  <c:v>127.10439</c:v>
                </c:pt>
                <c:pt idx="10">
                  <c:v>160.007022</c:v>
                </c:pt>
                <c:pt idx="11">
                  <c:v>201.456349</c:v>
                </c:pt>
                <c:pt idx="12">
                  <c:v>253.585211</c:v>
                </c:pt>
                <c:pt idx="13">
                  <c:v>319.290075</c:v>
                </c:pt>
                <c:pt idx="14">
                  <c:v>401.94414</c:v>
                </c:pt>
                <c:pt idx="15">
                  <c:v>506.015299</c:v>
                </c:pt>
                <c:pt idx="16">
                  <c:v>636.97723</c:v>
                </c:pt>
                <c:pt idx="17">
                  <c:v>801.911445</c:v>
                </c:pt>
                <c:pt idx="18">
                  <c:v>1009.546788</c:v>
                </c:pt>
                <c:pt idx="19">
                  <c:v>1271.06546</c:v>
                </c:pt>
                <c:pt idx="20">
                  <c:v>1600.019278</c:v>
                </c:pt>
                <c:pt idx="21">
                  <c:v>2014.313892</c:v>
                </c:pt>
                <c:pt idx="22">
                  <c:v>2536.107678</c:v>
                </c:pt>
                <c:pt idx="23">
                  <c:v>3192.521598</c:v>
                </c:pt>
                <c:pt idx="24">
                  <c:v>4019.460315</c:v>
                </c:pt>
                <c:pt idx="25">
                  <c:v>5059.790831</c:v>
                </c:pt>
                <c:pt idx="26">
                  <c:v>6369.735421</c:v>
                </c:pt>
                <c:pt idx="27">
                  <c:v>8019.263685</c:v>
                </c:pt>
                <c:pt idx="28">
                  <c:v>10096.471541</c:v>
                </c:pt>
                <c:pt idx="29">
                  <c:v>12710.556156</c:v>
                </c:pt>
                <c:pt idx="30">
                  <c:v>16000.960204</c:v>
                </c:pt>
              </c:numCache>
            </c:numRef>
          </c:xVal>
          <c:yVal>
            <c:numRef>
              <c:f>'Measured RIAA Response'!$R$80:$R$110</c:f>
              <c:numCache>
                <c:formatCode>General</c:formatCode>
                <c:ptCount val="31"/>
                <c:pt idx="0">
                  <c:v>15.20728701074722</c:v>
                </c:pt>
                <c:pt idx="1">
                  <c:v>12.1106102142958</c:v>
                </c:pt>
                <c:pt idx="2">
                  <c:v>9.636896557823806</c:v>
                </c:pt>
                <c:pt idx="3">
                  <c:v>7.665633604061593</c:v>
                </c:pt>
                <c:pt idx="4">
                  <c:v>6.096761544089225</c:v>
                </c:pt>
                <c:pt idx="5">
                  <c:v>4.851630505697932</c:v>
                </c:pt>
                <c:pt idx="6">
                  <c:v>3.847329190270898</c:v>
                </c:pt>
                <c:pt idx="7">
                  <c:v>3.050928920334176</c:v>
                </c:pt>
                <c:pt idx="8">
                  <c:v>2.414886214079478</c:v>
                </c:pt>
                <c:pt idx="9">
                  <c:v>1.899959357398448</c:v>
                </c:pt>
                <c:pt idx="10">
                  <c:v>1.487147142460425</c:v>
                </c:pt>
                <c:pt idx="11">
                  <c:v>1.150792641148981</c:v>
                </c:pt>
                <c:pt idx="12">
                  <c:v>0.87619297100963</c:v>
                </c:pt>
                <c:pt idx="13">
                  <c:v>0.648632934707852</c:v>
                </c:pt>
                <c:pt idx="14">
                  <c:v>0.456512946056912</c:v>
                </c:pt>
                <c:pt idx="15">
                  <c:v>0.293222674937846</c:v>
                </c:pt>
                <c:pt idx="16">
                  <c:v>0.154068548309159</c:v>
                </c:pt>
                <c:pt idx="17">
                  <c:v>0.0315800476626854</c:v>
                </c:pt>
                <c:pt idx="18">
                  <c:v>-0.07320405624315</c:v>
                </c:pt>
                <c:pt idx="19">
                  <c:v>-0.169459260595185</c:v>
                </c:pt>
                <c:pt idx="20">
                  <c:v>-0.247752701602752</c:v>
                </c:pt>
                <c:pt idx="21">
                  <c:v>-0.31128933671961</c:v>
                </c:pt>
                <c:pt idx="22">
                  <c:v>-0.363695894006923</c:v>
                </c:pt>
                <c:pt idx="23">
                  <c:v>-0.408677861308783</c:v>
                </c:pt>
                <c:pt idx="24">
                  <c:v>-0.453645873299276</c:v>
                </c:pt>
                <c:pt idx="25">
                  <c:v>-0.504550879904461</c:v>
                </c:pt>
                <c:pt idx="26">
                  <c:v>-0.577427731243562</c:v>
                </c:pt>
                <c:pt idx="27">
                  <c:v>-0.680585766806826</c:v>
                </c:pt>
                <c:pt idx="28">
                  <c:v>-0.79578839642323</c:v>
                </c:pt>
                <c:pt idx="29">
                  <c:v>-0.97398087826191</c:v>
                </c:pt>
                <c:pt idx="30">
                  <c:v>-1.190295722902536</c:v>
                </c:pt>
              </c:numCache>
            </c:numRef>
          </c:yVal>
          <c:smooth val="0"/>
        </c:ser>
        <c:ser>
          <c:idx val="5"/>
          <c:order val="5"/>
          <c:tx>
            <c:v>Right Phase (deg)</c:v>
          </c:tx>
          <c:xVal>
            <c:numRef>
              <c:f>'Measured RIAA Response'!$I$80:$I$110</c:f>
              <c:numCache>
                <c:formatCode>General</c:formatCode>
                <c:ptCount val="31"/>
                <c:pt idx="0">
                  <c:v>16.001451</c:v>
                </c:pt>
                <c:pt idx="1">
                  <c:v>20.143118</c:v>
                </c:pt>
                <c:pt idx="2">
                  <c:v>25.362768</c:v>
                </c:pt>
                <c:pt idx="3">
                  <c:v>31.929302</c:v>
                </c:pt>
                <c:pt idx="4">
                  <c:v>40.195312</c:v>
                </c:pt>
                <c:pt idx="5">
                  <c:v>50.597405</c:v>
                </c:pt>
                <c:pt idx="6">
                  <c:v>63.69847</c:v>
                </c:pt>
                <c:pt idx="7">
                  <c:v>80.201261</c:v>
                </c:pt>
                <c:pt idx="8">
                  <c:v>100.968027</c:v>
                </c:pt>
                <c:pt idx="9">
                  <c:v>127.10439</c:v>
                </c:pt>
                <c:pt idx="10">
                  <c:v>160.007022</c:v>
                </c:pt>
                <c:pt idx="11">
                  <c:v>201.456349</c:v>
                </c:pt>
                <c:pt idx="12">
                  <c:v>253.585211</c:v>
                </c:pt>
                <c:pt idx="13">
                  <c:v>319.290075</c:v>
                </c:pt>
                <c:pt idx="14">
                  <c:v>401.94414</c:v>
                </c:pt>
                <c:pt idx="15">
                  <c:v>506.015299</c:v>
                </c:pt>
                <c:pt idx="16">
                  <c:v>636.97723</c:v>
                </c:pt>
                <c:pt idx="17">
                  <c:v>801.911445</c:v>
                </c:pt>
                <c:pt idx="18">
                  <c:v>1009.546788</c:v>
                </c:pt>
                <c:pt idx="19">
                  <c:v>1271.06546</c:v>
                </c:pt>
                <c:pt idx="20">
                  <c:v>1600.019278</c:v>
                </c:pt>
                <c:pt idx="21">
                  <c:v>2014.313892</c:v>
                </c:pt>
                <c:pt idx="22">
                  <c:v>2536.107678</c:v>
                </c:pt>
                <c:pt idx="23">
                  <c:v>3192.521598</c:v>
                </c:pt>
                <c:pt idx="24">
                  <c:v>4019.460315</c:v>
                </c:pt>
                <c:pt idx="25">
                  <c:v>5059.790831</c:v>
                </c:pt>
                <c:pt idx="26">
                  <c:v>6369.735421</c:v>
                </c:pt>
                <c:pt idx="27">
                  <c:v>8019.263685</c:v>
                </c:pt>
                <c:pt idx="28">
                  <c:v>10096.471541</c:v>
                </c:pt>
                <c:pt idx="29">
                  <c:v>12710.556156</c:v>
                </c:pt>
                <c:pt idx="30">
                  <c:v>16000.960204</c:v>
                </c:pt>
              </c:numCache>
            </c:numRef>
          </c:xVal>
          <c:yVal>
            <c:numRef>
              <c:f>'Measured RIAA Response'!$T$80:$T$110</c:f>
              <c:numCache>
                <c:formatCode>General</c:formatCode>
                <c:ptCount val="31"/>
                <c:pt idx="0">
                  <c:v>15.95312384993777</c:v>
                </c:pt>
                <c:pt idx="1">
                  <c:v>12.7138322080614</c:v>
                </c:pt>
                <c:pt idx="2">
                  <c:v>10.11191160605383</c:v>
                </c:pt>
                <c:pt idx="3">
                  <c:v>8.034146932019838</c:v>
                </c:pt>
                <c:pt idx="4">
                  <c:v>6.386773006061015</c:v>
                </c:pt>
                <c:pt idx="5">
                  <c:v>5.061883076270845</c:v>
                </c:pt>
                <c:pt idx="6">
                  <c:v>4.025943991665574</c:v>
                </c:pt>
                <c:pt idx="7">
                  <c:v>3.197007721159731</c:v>
                </c:pt>
                <c:pt idx="8">
                  <c:v>2.533828359572577</c:v>
                </c:pt>
                <c:pt idx="9">
                  <c:v>2.007806245110845</c:v>
                </c:pt>
                <c:pt idx="10">
                  <c:v>1.585084682859773</c:v>
                </c:pt>
                <c:pt idx="11">
                  <c:v>1.243990176134715</c:v>
                </c:pt>
                <c:pt idx="12">
                  <c:v>0.967375656893329</c:v>
                </c:pt>
                <c:pt idx="13">
                  <c:v>0.742425549458988</c:v>
                </c:pt>
                <c:pt idx="14">
                  <c:v>0.556425487119562</c:v>
                </c:pt>
                <c:pt idx="15">
                  <c:v>0.402551114698366</c:v>
                </c:pt>
                <c:pt idx="16">
                  <c:v>0.274606643814133</c:v>
                </c:pt>
                <c:pt idx="17">
                  <c:v>0.16706651012608</c:v>
                </c:pt>
                <c:pt idx="18">
                  <c:v>0.0749467860712682</c:v>
                </c:pt>
                <c:pt idx="19">
                  <c:v>-0.00503396790610215</c:v>
                </c:pt>
                <c:pt idx="20">
                  <c:v>-0.0742417397140494</c:v>
                </c:pt>
                <c:pt idx="21">
                  <c:v>-0.135578859935961</c:v>
                </c:pt>
                <c:pt idx="22">
                  <c:v>-0.196234532767246</c:v>
                </c:pt>
                <c:pt idx="23">
                  <c:v>-0.257828884559367</c:v>
                </c:pt>
                <c:pt idx="24">
                  <c:v>-0.326980734544899</c:v>
                </c:pt>
                <c:pt idx="25">
                  <c:v>-0.408134146520791</c:v>
                </c:pt>
                <c:pt idx="26">
                  <c:v>-0.512619431828231</c:v>
                </c:pt>
                <c:pt idx="27">
                  <c:v>-0.648813767460889</c:v>
                </c:pt>
                <c:pt idx="28">
                  <c:v>-0.79810117785488</c:v>
                </c:pt>
                <c:pt idx="29">
                  <c:v>-1.012078553004088</c:v>
                </c:pt>
                <c:pt idx="30">
                  <c:v>-1.267139428473298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43079272"/>
        <c:axId val="-2141229688"/>
      </c:scatterChart>
      <c:valAx>
        <c:axId val="-2140711992"/>
        <c:scaling>
          <c:logBase val="10.0"/>
          <c:orientation val="minMax"/>
          <c:max val="16000.0"/>
          <c:min val="16.0"/>
        </c:scaling>
        <c:delete val="0"/>
        <c:axPos val="b"/>
        <c:majorGridlines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-2140619368"/>
        <c:crossesAt val="-160.0"/>
        <c:crossBetween val="midCat"/>
      </c:valAx>
      <c:valAx>
        <c:axId val="-2140619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-2140711992"/>
        <c:crosses val="autoZero"/>
        <c:crossBetween val="midCat"/>
      </c:valAx>
      <c:valAx>
        <c:axId val="-21412296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-2143079272"/>
        <c:crosses val="max"/>
        <c:crossBetween val="midCat"/>
      </c:valAx>
      <c:valAx>
        <c:axId val="-2143079272"/>
        <c:scaling>
          <c:logBase val="10.0"/>
          <c:orientation val="minMax"/>
          <c:max val="16000.0"/>
          <c:min val="16.0"/>
        </c:scaling>
        <c:delete val="0"/>
        <c:axPos val="t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-2141229688"/>
        <c:crosses val="max"/>
        <c:crossBetween val="midCat"/>
      </c:valAx>
    </c:plotArea>
    <c:legend>
      <c:legendPos val="b"/>
      <c:layout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RIAA Deemphasis Gain and Phase</a:t>
            </a:r>
          </a:p>
          <a:p>
            <a:pPr>
              <a:defRPr/>
            </a:pPr>
            <a:r>
              <a:rPr lang="en-US"/>
              <a:t>6 June 2026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744470626354512"/>
          <c:y val="0.185981688183392"/>
          <c:w val="0.859115975606485"/>
          <c:h val="0.639141974820141"/>
        </c:manualLayout>
      </c:layout>
      <c:scatterChart>
        <c:scatterStyle val="lineMarker"/>
        <c:varyColors val="0"/>
        <c:ser>
          <c:idx val="0"/>
          <c:order val="0"/>
          <c:tx>
            <c:v>Left (dB)</c:v>
          </c:tx>
          <c:xVal>
            <c:numRef>
              <c:f>'Measured RIAA Response'!$I$80:$I$110</c:f>
              <c:numCache>
                <c:formatCode>General</c:formatCode>
                <c:ptCount val="31"/>
                <c:pt idx="0">
                  <c:v>16.001451</c:v>
                </c:pt>
                <c:pt idx="1">
                  <c:v>20.143118</c:v>
                </c:pt>
                <c:pt idx="2">
                  <c:v>25.362768</c:v>
                </c:pt>
                <c:pt idx="3">
                  <c:v>31.929302</c:v>
                </c:pt>
                <c:pt idx="4">
                  <c:v>40.195312</c:v>
                </c:pt>
                <c:pt idx="5">
                  <c:v>50.597405</c:v>
                </c:pt>
                <c:pt idx="6">
                  <c:v>63.69847</c:v>
                </c:pt>
                <c:pt idx="7">
                  <c:v>80.201261</c:v>
                </c:pt>
                <c:pt idx="8">
                  <c:v>100.968027</c:v>
                </c:pt>
                <c:pt idx="9">
                  <c:v>127.10439</c:v>
                </c:pt>
                <c:pt idx="10">
                  <c:v>160.007022</c:v>
                </c:pt>
                <c:pt idx="11">
                  <c:v>201.456349</c:v>
                </c:pt>
                <c:pt idx="12">
                  <c:v>253.585211</c:v>
                </c:pt>
                <c:pt idx="13">
                  <c:v>319.290075</c:v>
                </c:pt>
                <c:pt idx="14">
                  <c:v>401.94414</c:v>
                </c:pt>
                <c:pt idx="15">
                  <c:v>506.015299</c:v>
                </c:pt>
                <c:pt idx="16">
                  <c:v>636.97723</c:v>
                </c:pt>
                <c:pt idx="17">
                  <c:v>801.911445</c:v>
                </c:pt>
                <c:pt idx="18">
                  <c:v>1009.546788</c:v>
                </c:pt>
                <c:pt idx="19">
                  <c:v>1271.06546</c:v>
                </c:pt>
                <c:pt idx="20">
                  <c:v>1600.019278</c:v>
                </c:pt>
                <c:pt idx="21">
                  <c:v>2014.313892</c:v>
                </c:pt>
                <c:pt idx="22">
                  <c:v>2536.107678</c:v>
                </c:pt>
                <c:pt idx="23">
                  <c:v>3192.521598</c:v>
                </c:pt>
                <c:pt idx="24">
                  <c:v>4019.460315</c:v>
                </c:pt>
                <c:pt idx="25">
                  <c:v>5059.790831</c:v>
                </c:pt>
                <c:pt idx="26">
                  <c:v>6369.735421</c:v>
                </c:pt>
                <c:pt idx="27">
                  <c:v>8019.263685</c:v>
                </c:pt>
                <c:pt idx="28">
                  <c:v>10096.471541</c:v>
                </c:pt>
                <c:pt idx="29">
                  <c:v>12710.556156</c:v>
                </c:pt>
                <c:pt idx="30">
                  <c:v>16000.960204</c:v>
                </c:pt>
              </c:numCache>
            </c:numRef>
          </c:xVal>
          <c:yVal>
            <c:numRef>
              <c:f>'Measured RIAA Response'!$N$80:$N$110</c:f>
              <c:numCache>
                <c:formatCode>General</c:formatCode>
                <c:ptCount val="31"/>
                <c:pt idx="0">
                  <c:v>1.64460791769961</c:v>
                </c:pt>
                <c:pt idx="1">
                  <c:v>1.70515486083573</c:v>
                </c:pt>
                <c:pt idx="2">
                  <c:v>1.745079063089538</c:v>
                </c:pt>
                <c:pt idx="3">
                  <c:v>1.769799866341</c:v>
                </c:pt>
                <c:pt idx="4">
                  <c:v>1.786068852592347</c:v>
                </c:pt>
                <c:pt idx="5">
                  <c:v>1.797588512908772</c:v>
                </c:pt>
                <c:pt idx="6">
                  <c:v>1.805250246014604</c:v>
                </c:pt>
                <c:pt idx="7">
                  <c:v>1.81094249115254</c:v>
                </c:pt>
                <c:pt idx="8">
                  <c:v>1.814328035049075</c:v>
                </c:pt>
                <c:pt idx="9">
                  <c:v>1.817577729116179</c:v>
                </c:pt>
                <c:pt idx="10">
                  <c:v>1.819754058600674</c:v>
                </c:pt>
                <c:pt idx="11">
                  <c:v>1.821639729538111</c:v>
                </c:pt>
                <c:pt idx="12">
                  <c:v>1.822454673873817</c:v>
                </c:pt>
                <c:pt idx="13">
                  <c:v>1.822526403219069</c:v>
                </c:pt>
                <c:pt idx="14">
                  <c:v>1.822406844395464</c:v>
                </c:pt>
                <c:pt idx="15">
                  <c:v>1.82023957074668</c:v>
                </c:pt>
                <c:pt idx="16">
                  <c:v>1.818055054583497</c:v>
                </c:pt>
                <c:pt idx="17">
                  <c:v>1.812939717707637</c:v>
                </c:pt>
                <c:pt idx="18">
                  <c:v>1.80832507875774</c:v>
                </c:pt>
                <c:pt idx="19">
                  <c:v>1.801571815350778</c:v>
                </c:pt>
                <c:pt idx="20">
                  <c:v>1.793645567667261</c:v>
                </c:pt>
                <c:pt idx="21">
                  <c:v>1.785456624690366</c:v>
                </c:pt>
                <c:pt idx="22">
                  <c:v>1.777730463092631</c:v>
                </c:pt>
                <c:pt idx="23">
                  <c:v>1.771573638795289</c:v>
                </c:pt>
                <c:pt idx="24">
                  <c:v>1.764481531394602</c:v>
                </c:pt>
                <c:pt idx="25">
                  <c:v>1.762670877181318</c:v>
                </c:pt>
                <c:pt idx="26">
                  <c:v>1.7583818830354</c:v>
                </c:pt>
                <c:pt idx="27">
                  <c:v>1.756933326497492</c:v>
                </c:pt>
                <c:pt idx="28">
                  <c:v>1.757339349676366</c:v>
                </c:pt>
                <c:pt idx="29">
                  <c:v>1.756728471342165</c:v>
                </c:pt>
                <c:pt idx="30">
                  <c:v>1.757836056482555</c:v>
                </c:pt>
              </c:numCache>
            </c:numRef>
          </c:yVal>
          <c:smooth val="0"/>
        </c:ser>
        <c:ser>
          <c:idx val="1"/>
          <c:order val="1"/>
          <c:tx>
            <c:v>Right (dB)</c:v>
          </c:tx>
          <c:xVal>
            <c:numRef>
              <c:f>'Measured RIAA Response'!$I$80:$I$110</c:f>
              <c:numCache>
                <c:formatCode>General</c:formatCode>
                <c:ptCount val="31"/>
                <c:pt idx="0">
                  <c:v>16.001451</c:v>
                </c:pt>
                <c:pt idx="1">
                  <c:v>20.143118</c:v>
                </c:pt>
                <c:pt idx="2">
                  <c:v>25.362768</c:v>
                </c:pt>
                <c:pt idx="3">
                  <c:v>31.929302</c:v>
                </c:pt>
                <c:pt idx="4">
                  <c:v>40.195312</c:v>
                </c:pt>
                <c:pt idx="5">
                  <c:v>50.597405</c:v>
                </c:pt>
                <c:pt idx="6">
                  <c:v>63.69847</c:v>
                </c:pt>
                <c:pt idx="7">
                  <c:v>80.201261</c:v>
                </c:pt>
                <c:pt idx="8">
                  <c:v>100.968027</c:v>
                </c:pt>
                <c:pt idx="9">
                  <c:v>127.10439</c:v>
                </c:pt>
                <c:pt idx="10">
                  <c:v>160.007022</c:v>
                </c:pt>
                <c:pt idx="11">
                  <c:v>201.456349</c:v>
                </c:pt>
                <c:pt idx="12">
                  <c:v>253.585211</c:v>
                </c:pt>
                <c:pt idx="13">
                  <c:v>319.290075</c:v>
                </c:pt>
                <c:pt idx="14">
                  <c:v>401.94414</c:v>
                </c:pt>
                <c:pt idx="15">
                  <c:v>506.015299</c:v>
                </c:pt>
                <c:pt idx="16">
                  <c:v>636.97723</c:v>
                </c:pt>
                <c:pt idx="17">
                  <c:v>801.911445</c:v>
                </c:pt>
                <c:pt idx="18">
                  <c:v>1009.546788</c:v>
                </c:pt>
                <c:pt idx="19">
                  <c:v>1271.06546</c:v>
                </c:pt>
                <c:pt idx="20">
                  <c:v>1600.019278</c:v>
                </c:pt>
                <c:pt idx="21">
                  <c:v>2014.313892</c:v>
                </c:pt>
                <c:pt idx="22">
                  <c:v>2536.107678</c:v>
                </c:pt>
                <c:pt idx="23">
                  <c:v>3192.521598</c:v>
                </c:pt>
                <c:pt idx="24">
                  <c:v>4019.460315</c:v>
                </c:pt>
                <c:pt idx="25">
                  <c:v>5059.790831</c:v>
                </c:pt>
                <c:pt idx="26">
                  <c:v>6369.735421</c:v>
                </c:pt>
                <c:pt idx="27">
                  <c:v>8019.263685</c:v>
                </c:pt>
                <c:pt idx="28">
                  <c:v>10096.471541</c:v>
                </c:pt>
                <c:pt idx="29">
                  <c:v>12710.556156</c:v>
                </c:pt>
                <c:pt idx="30">
                  <c:v>16000.960204</c:v>
                </c:pt>
              </c:numCache>
            </c:numRef>
          </c:xVal>
          <c:yVal>
            <c:numRef>
              <c:f>'Measured RIAA Response'!$P$80:$P$110</c:f>
              <c:numCache>
                <c:formatCode>General</c:formatCode>
                <c:ptCount val="31"/>
                <c:pt idx="0">
                  <c:v>1.613179625170913</c:v>
                </c:pt>
                <c:pt idx="1">
                  <c:v>1.680964062187866</c:v>
                </c:pt>
                <c:pt idx="2">
                  <c:v>1.72622794414578</c:v>
                </c:pt>
                <c:pt idx="3">
                  <c:v>1.752543899609704</c:v>
                </c:pt>
                <c:pt idx="4">
                  <c:v>1.77014816706576</c:v>
                </c:pt>
                <c:pt idx="5">
                  <c:v>1.783812131098279</c:v>
                </c:pt>
                <c:pt idx="6">
                  <c:v>1.78926623078071</c:v>
                </c:pt>
                <c:pt idx="7">
                  <c:v>1.794055330760887</c:v>
                </c:pt>
                <c:pt idx="8">
                  <c:v>1.797213983467848</c:v>
                </c:pt>
                <c:pt idx="9">
                  <c:v>1.800212385611787</c:v>
                </c:pt>
                <c:pt idx="10">
                  <c:v>1.802385123139063</c:v>
                </c:pt>
                <c:pt idx="11">
                  <c:v>1.804672263376564</c:v>
                </c:pt>
                <c:pt idx="12">
                  <c:v>1.80613096930524</c:v>
                </c:pt>
                <c:pt idx="13">
                  <c:v>1.807067759835581</c:v>
                </c:pt>
                <c:pt idx="14">
                  <c:v>1.807801755321815</c:v>
                </c:pt>
                <c:pt idx="15">
                  <c:v>1.807677492107896</c:v>
                </c:pt>
                <c:pt idx="16">
                  <c:v>1.80704416355398</c:v>
                </c:pt>
                <c:pt idx="17">
                  <c:v>1.80487105524783</c:v>
                </c:pt>
                <c:pt idx="18">
                  <c:v>1.803270609981024</c:v>
                </c:pt>
                <c:pt idx="19">
                  <c:v>1.800688193560065</c:v>
                </c:pt>
                <c:pt idx="20">
                  <c:v>1.798126153723766</c:v>
                </c:pt>
                <c:pt idx="21">
                  <c:v>1.796039576330928</c:v>
                </c:pt>
                <c:pt idx="22">
                  <c:v>1.794903937656121</c:v>
                </c:pt>
                <c:pt idx="23">
                  <c:v>1.794169691043119</c:v>
                </c:pt>
                <c:pt idx="24">
                  <c:v>1.79379831678353</c:v>
                </c:pt>
                <c:pt idx="25">
                  <c:v>1.793063629992384</c:v>
                </c:pt>
                <c:pt idx="26">
                  <c:v>1.793405455966681</c:v>
                </c:pt>
                <c:pt idx="27">
                  <c:v>1.794170518611799</c:v>
                </c:pt>
                <c:pt idx="28">
                  <c:v>1.79639214787529</c:v>
                </c:pt>
                <c:pt idx="29">
                  <c:v>1.797375894357351</c:v>
                </c:pt>
                <c:pt idx="30">
                  <c:v>1.800149697466653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6271464"/>
        <c:axId val="-2136566696"/>
      </c:scatterChart>
      <c:scatterChart>
        <c:scatterStyle val="lineMarker"/>
        <c:varyColors val="0"/>
        <c:ser>
          <c:idx val="2"/>
          <c:order val="2"/>
          <c:tx>
            <c:v>Left (deg)</c:v>
          </c:tx>
          <c:xVal>
            <c:numRef>
              <c:f>'Measured RIAA Response'!$I$80:$I$110</c:f>
              <c:numCache>
                <c:formatCode>General</c:formatCode>
                <c:ptCount val="31"/>
                <c:pt idx="0">
                  <c:v>16.001451</c:v>
                </c:pt>
                <c:pt idx="1">
                  <c:v>20.143118</c:v>
                </c:pt>
                <c:pt idx="2">
                  <c:v>25.362768</c:v>
                </c:pt>
                <c:pt idx="3">
                  <c:v>31.929302</c:v>
                </c:pt>
                <c:pt idx="4">
                  <c:v>40.195312</c:v>
                </c:pt>
                <c:pt idx="5">
                  <c:v>50.597405</c:v>
                </c:pt>
                <c:pt idx="6">
                  <c:v>63.69847</c:v>
                </c:pt>
                <c:pt idx="7">
                  <c:v>80.201261</c:v>
                </c:pt>
                <c:pt idx="8">
                  <c:v>100.968027</c:v>
                </c:pt>
                <c:pt idx="9">
                  <c:v>127.10439</c:v>
                </c:pt>
                <c:pt idx="10">
                  <c:v>160.007022</c:v>
                </c:pt>
                <c:pt idx="11">
                  <c:v>201.456349</c:v>
                </c:pt>
                <c:pt idx="12">
                  <c:v>253.585211</c:v>
                </c:pt>
                <c:pt idx="13">
                  <c:v>319.290075</c:v>
                </c:pt>
                <c:pt idx="14">
                  <c:v>401.94414</c:v>
                </c:pt>
                <c:pt idx="15">
                  <c:v>506.015299</c:v>
                </c:pt>
                <c:pt idx="16">
                  <c:v>636.97723</c:v>
                </c:pt>
                <c:pt idx="17">
                  <c:v>801.911445</c:v>
                </c:pt>
                <c:pt idx="18">
                  <c:v>1009.546788</c:v>
                </c:pt>
                <c:pt idx="19">
                  <c:v>1271.06546</c:v>
                </c:pt>
                <c:pt idx="20">
                  <c:v>1600.019278</c:v>
                </c:pt>
                <c:pt idx="21">
                  <c:v>2014.313892</c:v>
                </c:pt>
                <c:pt idx="22">
                  <c:v>2536.107678</c:v>
                </c:pt>
                <c:pt idx="23">
                  <c:v>3192.521598</c:v>
                </c:pt>
                <c:pt idx="24">
                  <c:v>4019.460315</c:v>
                </c:pt>
                <c:pt idx="25">
                  <c:v>5059.790831</c:v>
                </c:pt>
                <c:pt idx="26">
                  <c:v>6369.735421</c:v>
                </c:pt>
                <c:pt idx="27">
                  <c:v>8019.263685</c:v>
                </c:pt>
                <c:pt idx="28">
                  <c:v>10096.471541</c:v>
                </c:pt>
                <c:pt idx="29">
                  <c:v>12710.556156</c:v>
                </c:pt>
                <c:pt idx="30">
                  <c:v>16000.960204</c:v>
                </c:pt>
              </c:numCache>
            </c:numRef>
          </c:xVal>
          <c:yVal>
            <c:numRef>
              <c:f>'Measured RIAA Response'!$R$80:$R$110</c:f>
              <c:numCache>
                <c:formatCode>General</c:formatCode>
                <c:ptCount val="31"/>
                <c:pt idx="0">
                  <c:v>15.20728701074722</c:v>
                </c:pt>
                <c:pt idx="1">
                  <c:v>12.1106102142958</c:v>
                </c:pt>
                <c:pt idx="2">
                  <c:v>9.636896557823806</c:v>
                </c:pt>
                <c:pt idx="3">
                  <c:v>7.665633604061593</c:v>
                </c:pt>
                <c:pt idx="4">
                  <c:v>6.096761544089225</c:v>
                </c:pt>
                <c:pt idx="5">
                  <c:v>4.851630505697932</c:v>
                </c:pt>
                <c:pt idx="6">
                  <c:v>3.847329190270898</c:v>
                </c:pt>
                <c:pt idx="7">
                  <c:v>3.050928920334176</c:v>
                </c:pt>
                <c:pt idx="8">
                  <c:v>2.414886214079478</c:v>
                </c:pt>
                <c:pt idx="9">
                  <c:v>1.899959357398448</c:v>
                </c:pt>
                <c:pt idx="10">
                  <c:v>1.487147142460425</c:v>
                </c:pt>
                <c:pt idx="11">
                  <c:v>1.150792641148981</c:v>
                </c:pt>
                <c:pt idx="12">
                  <c:v>0.87619297100963</c:v>
                </c:pt>
                <c:pt idx="13">
                  <c:v>0.648632934707852</c:v>
                </c:pt>
                <c:pt idx="14">
                  <c:v>0.456512946056912</c:v>
                </c:pt>
                <c:pt idx="15">
                  <c:v>0.293222674937846</c:v>
                </c:pt>
                <c:pt idx="16">
                  <c:v>0.154068548309159</c:v>
                </c:pt>
                <c:pt idx="17">
                  <c:v>0.0315800476626854</c:v>
                </c:pt>
                <c:pt idx="18">
                  <c:v>-0.07320405624315</c:v>
                </c:pt>
                <c:pt idx="19">
                  <c:v>-0.169459260595185</c:v>
                </c:pt>
                <c:pt idx="20">
                  <c:v>-0.247752701602752</c:v>
                </c:pt>
                <c:pt idx="21">
                  <c:v>-0.31128933671961</c:v>
                </c:pt>
                <c:pt idx="22">
                  <c:v>-0.363695894006923</c:v>
                </c:pt>
                <c:pt idx="23">
                  <c:v>-0.408677861308783</c:v>
                </c:pt>
                <c:pt idx="24">
                  <c:v>-0.453645873299276</c:v>
                </c:pt>
                <c:pt idx="25">
                  <c:v>-0.504550879904461</c:v>
                </c:pt>
                <c:pt idx="26">
                  <c:v>-0.577427731243562</c:v>
                </c:pt>
                <c:pt idx="27">
                  <c:v>-0.680585766806826</c:v>
                </c:pt>
                <c:pt idx="28">
                  <c:v>-0.79578839642323</c:v>
                </c:pt>
                <c:pt idx="29">
                  <c:v>-0.97398087826191</c:v>
                </c:pt>
                <c:pt idx="30">
                  <c:v>-1.190295722902536</c:v>
                </c:pt>
              </c:numCache>
            </c:numRef>
          </c:yVal>
          <c:smooth val="0"/>
        </c:ser>
        <c:ser>
          <c:idx val="3"/>
          <c:order val="3"/>
          <c:tx>
            <c:v>Right (deg)</c:v>
          </c:tx>
          <c:xVal>
            <c:numRef>
              <c:f>'Measured RIAA Response'!$I$80:$I$110</c:f>
              <c:numCache>
                <c:formatCode>General</c:formatCode>
                <c:ptCount val="31"/>
                <c:pt idx="0">
                  <c:v>16.001451</c:v>
                </c:pt>
                <c:pt idx="1">
                  <c:v>20.143118</c:v>
                </c:pt>
                <c:pt idx="2">
                  <c:v>25.362768</c:v>
                </c:pt>
                <c:pt idx="3">
                  <c:v>31.929302</c:v>
                </c:pt>
                <c:pt idx="4">
                  <c:v>40.195312</c:v>
                </c:pt>
                <c:pt idx="5">
                  <c:v>50.597405</c:v>
                </c:pt>
                <c:pt idx="6">
                  <c:v>63.69847</c:v>
                </c:pt>
                <c:pt idx="7">
                  <c:v>80.201261</c:v>
                </c:pt>
                <c:pt idx="8">
                  <c:v>100.968027</c:v>
                </c:pt>
                <c:pt idx="9">
                  <c:v>127.10439</c:v>
                </c:pt>
                <c:pt idx="10">
                  <c:v>160.007022</c:v>
                </c:pt>
                <c:pt idx="11">
                  <c:v>201.456349</c:v>
                </c:pt>
                <c:pt idx="12">
                  <c:v>253.585211</c:v>
                </c:pt>
                <c:pt idx="13">
                  <c:v>319.290075</c:v>
                </c:pt>
                <c:pt idx="14">
                  <c:v>401.94414</c:v>
                </c:pt>
                <c:pt idx="15">
                  <c:v>506.015299</c:v>
                </c:pt>
                <c:pt idx="16">
                  <c:v>636.97723</c:v>
                </c:pt>
                <c:pt idx="17">
                  <c:v>801.911445</c:v>
                </c:pt>
                <c:pt idx="18">
                  <c:v>1009.546788</c:v>
                </c:pt>
                <c:pt idx="19">
                  <c:v>1271.06546</c:v>
                </c:pt>
                <c:pt idx="20">
                  <c:v>1600.019278</c:v>
                </c:pt>
                <c:pt idx="21">
                  <c:v>2014.313892</c:v>
                </c:pt>
                <c:pt idx="22">
                  <c:v>2536.107678</c:v>
                </c:pt>
                <c:pt idx="23">
                  <c:v>3192.521598</c:v>
                </c:pt>
                <c:pt idx="24">
                  <c:v>4019.460315</c:v>
                </c:pt>
                <c:pt idx="25">
                  <c:v>5059.790831</c:v>
                </c:pt>
                <c:pt idx="26">
                  <c:v>6369.735421</c:v>
                </c:pt>
                <c:pt idx="27">
                  <c:v>8019.263685</c:v>
                </c:pt>
                <c:pt idx="28">
                  <c:v>10096.471541</c:v>
                </c:pt>
                <c:pt idx="29">
                  <c:v>12710.556156</c:v>
                </c:pt>
                <c:pt idx="30">
                  <c:v>16000.960204</c:v>
                </c:pt>
              </c:numCache>
            </c:numRef>
          </c:xVal>
          <c:yVal>
            <c:numRef>
              <c:f>'Measured RIAA Response'!$T$80:$T$110</c:f>
              <c:numCache>
                <c:formatCode>General</c:formatCode>
                <c:ptCount val="31"/>
                <c:pt idx="0">
                  <c:v>15.95312384993777</c:v>
                </c:pt>
                <c:pt idx="1">
                  <c:v>12.7138322080614</c:v>
                </c:pt>
                <c:pt idx="2">
                  <c:v>10.11191160605383</c:v>
                </c:pt>
                <c:pt idx="3">
                  <c:v>8.034146932019838</c:v>
                </c:pt>
                <c:pt idx="4">
                  <c:v>6.386773006061015</c:v>
                </c:pt>
                <c:pt idx="5">
                  <c:v>5.061883076270845</c:v>
                </c:pt>
                <c:pt idx="6">
                  <c:v>4.025943991665574</c:v>
                </c:pt>
                <c:pt idx="7">
                  <c:v>3.197007721159731</c:v>
                </c:pt>
                <c:pt idx="8">
                  <c:v>2.533828359572577</c:v>
                </c:pt>
                <c:pt idx="9">
                  <c:v>2.007806245110845</c:v>
                </c:pt>
                <c:pt idx="10">
                  <c:v>1.585084682859773</c:v>
                </c:pt>
                <c:pt idx="11">
                  <c:v>1.243990176134715</c:v>
                </c:pt>
                <c:pt idx="12">
                  <c:v>0.967375656893329</c:v>
                </c:pt>
                <c:pt idx="13">
                  <c:v>0.742425549458988</c:v>
                </c:pt>
                <c:pt idx="14">
                  <c:v>0.556425487119562</c:v>
                </c:pt>
                <c:pt idx="15">
                  <c:v>0.402551114698366</c:v>
                </c:pt>
                <c:pt idx="16">
                  <c:v>0.274606643814133</c:v>
                </c:pt>
                <c:pt idx="17">
                  <c:v>0.16706651012608</c:v>
                </c:pt>
                <c:pt idx="18">
                  <c:v>0.0749467860712682</c:v>
                </c:pt>
                <c:pt idx="19">
                  <c:v>-0.00503396790610215</c:v>
                </c:pt>
                <c:pt idx="20">
                  <c:v>-0.0742417397140494</c:v>
                </c:pt>
                <c:pt idx="21">
                  <c:v>-0.135578859935961</c:v>
                </c:pt>
                <c:pt idx="22">
                  <c:v>-0.196234532767246</c:v>
                </c:pt>
                <c:pt idx="23">
                  <c:v>-0.257828884559367</c:v>
                </c:pt>
                <c:pt idx="24">
                  <c:v>-0.326980734544899</c:v>
                </c:pt>
                <c:pt idx="25">
                  <c:v>-0.408134146520791</c:v>
                </c:pt>
                <c:pt idx="26">
                  <c:v>-0.512619431828231</c:v>
                </c:pt>
                <c:pt idx="27">
                  <c:v>-0.648813767460889</c:v>
                </c:pt>
                <c:pt idx="28">
                  <c:v>-0.79810117785488</c:v>
                </c:pt>
                <c:pt idx="29">
                  <c:v>-1.012078553004088</c:v>
                </c:pt>
                <c:pt idx="30">
                  <c:v>-1.267139428473298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8071656"/>
        <c:axId val="-2138474824"/>
      </c:scatterChart>
      <c:valAx>
        <c:axId val="-2136271464"/>
        <c:scaling>
          <c:logBase val="10.0"/>
          <c:orientation val="minMax"/>
          <c:max val="16000.0"/>
          <c:min val="16.0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Frequency (Hz)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-2136566696"/>
        <c:crosses val="autoZero"/>
        <c:crossBetween val="midCat"/>
      </c:valAx>
      <c:valAx>
        <c:axId val="-2136566696"/>
        <c:scaling>
          <c:orientation val="minMax"/>
          <c:max val="1.9"/>
          <c:min val="1.3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Gain (dB)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cross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-2136271464"/>
        <c:crosses val="autoZero"/>
        <c:crossBetween val="midCat"/>
        <c:majorUnit val="0.1"/>
        <c:minorUnit val="0.025"/>
      </c:valAx>
      <c:valAx>
        <c:axId val="-2138474824"/>
        <c:scaling>
          <c:orientation val="minMax"/>
          <c:max val="20.0"/>
          <c:min val="-4.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Phase (deg)</a:t>
                </a:r>
              </a:p>
            </c:rich>
          </c:tx>
          <c:layout>
            <c:manualLayout>
              <c:xMode val="edge"/>
              <c:yMode val="edge"/>
              <c:x val="0.965800629502349"/>
              <c:y val="0.42244615779959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-2138071656"/>
        <c:crosses val="max"/>
        <c:crossBetween val="midCat"/>
        <c:majorUnit val="4.0"/>
      </c:valAx>
      <c:valAx>
        <c:axId val="-2138071656"/>
        <c:scaling>
          <c:logBase val="10.0"/>
          <c:orientation val="minMax"/>
          <c:max val="16000.0"/>
          <c:min val="16.0"/>
        </c:scaling>
        <c:delete val="0"/>
        <c:axPos val="t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-2138474824"/>
        <c:crosses val="max"/>
        <c:crossBetween val="midCat"/>
      </c:valAx>
    </c:plotArea>
    <c:legend>
      <c:legendPos val="b"/>
      <c:layout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59" workbookViewId="0" zoomToFit="1"/>
  </sheetViews>
  <pageMargins left="0.75" right="0.75" top="1" bottom="1" header="0.5" footer="0.5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241300</xdr:colOff>
      <xdr:row>14</xdr:row>
      <xdr:rowOff>25400</xdr:rowOff>
    </xdr:from>
    <xdr:to>
      <xdr:col>11</xdr:col>
      <xdr:colOff>406400</xdr:colOff>
      <xdr:row>43</xdr:row>
      <xdr:rowOff>165100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101600</xdr:colOff>
      <xdr:row>82</xdr:row>
      <xdr:rowOff>63500</xdr:rowOff>
    </xdr:from>
    <xdr:to>
      <xdr:col>19</xdr:col>
      <xdr:colOff>190500</xdr:colOff>
      <xdr:row>112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9497" cy="562314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0"/>
  <sheetViews>
    <sheetView tabSelected="1" topLeftCell="D71" workbookViewId="0">
      <selection activeCell="T80" activeCellId="4" sqref="I80:I110 N80:N110 P80:P110 R80:R110 T80:T110"/>
    </sheetView>
  </sheetViews>
  <sheetFormatPr baseColWidth="10" defaultRowHeight="15" x14ac:dyDescent="0"/>
  <sheetData>
    <row r="1" spans="1:17">
      <c r="A1" t="s">
        <v>0</v>
      </c>
      <c r="B1" t="s">
        <v>1</v>
      </c>
      <c r="C1" t="s">
        <v>2</v>
      </c>
      <c r="D1" t="s">
        <v>3</v>
      </c>
    </row>
    <row r="2" spans="1:17">
      <c r="A2" t="s">
        <v>4</v>
      </c>
      <c r="B2" t="s">
        <v>5</v>
      </c>
      <c r="C2" t="s">
        <v>2</v>
      </c>
      <c r="D2" t="s">
        <v>6</v>
      </c>
    </row>
    <row r="3" spans="1:17">
      <c r="A3" t="s">
        <v>7</v>
      </c>
      <c r="B3" t="s">
        <v>2</v>
      </c>
      <c r="C3" t="s">
        <v>8</v>
      </c>
    </row>
    <row r="4" spans="1:17">
      <c r="A4" t="s">
        <v>9</v>
      </c>
    </row>
    <row r="5" spans="1:17">
      <c r="B5" t="s">
        <v>10</v>
      </c>
      <c r="C5" t="s">
        <v>11</v>
      </c>
    </row>
    <row r="6" spans="1:17">
      <c r="B6" t="s">
        <v>12</v>
      </c>
      <c r="C6" t="s">
        <v>13</v>
      </c>
    </row>
    <row r="7" spans="1:17">
      <c r="B7" t="s">
        <v>14</v>
      </c>
      <c r="C7" t="s">
        <v>15</v>
      </c>
    </row>
    <row r="8" spans="1:17">
      <c r="B8" t="s">
        <v>16</v>
      </c>
      <c r="C8" t="s">
        <v>17</v>
      </c>
    </row>
    <row r="9" spans="1:17">
      <c r="B9" t="s">
        <v>18</v>
      </c>
      <c r="C9" t="s">
        <v>19</v>
      </c>
    </row>
    <row r="10" spans="1:17">
      <c r="B10" t="s">
        <v>20</v>
      </c>
      <c r="C10" t="s">
        <v>21</v>
      </c>
    </row>
    <row r="11" spans="1:17" s="1" customFormat="1">
      <c r="A11" s="1" t="s">
        <v>24</v>
      </c>
      <c r="B11" s="1" t="s">
        <v>30</v>
      </c>
      <c r="F11" s="1" t="s">
        <v>31</v>
      </c>
      <c r="J11" s="1" t="s">
        <v>32</v>
      </c>
      <c r="N11" s="1" t="s">
        <v>33</v>
      </c>
    </row>
    <row r="12" spans="1:17" s="1" customFormat="1">
      <c r="A12" s="1" t="s">
        <v>25</v>
      </c>
      <c r="B12" s="1" t="s">
        <v>26</v>
      </c>
      <c r="C12" s="1" t="s">
        <v>27</v>
      </c>
      <c r="D12" s="1" t="s">
        <v>28</v>
      </c>
      <c r="E12" s="1" t="s">
        <v>29</v>
      </c>
      <c r="F12" s="1" t="s">
        <v>26</v>
      </c>
      <c r="G12" s="1" t="s">
        <v>27</v>
      </c>
      <c r="H12" s="1" t="s">
        <v>28</v>
      </c>
      <c r="I12" s="1" t="s">
        <v>29</v>
      </c>
      <c r="J12" s="1" t="s">
        <v>26</v>
      </c>
      <c r="K12" s="1" t="s">
        <v>27</v>
      </c>
      <c r="L12" s="1" t="s">
        <v>28</v>
      </c>
      <c r="M12" s="1" t="s">
        <v>29</v>
      </c>
      <c r="N12" s="1" t="s">
        <v>26</v>
      </c>
      <c r="O12" s="1" t="s">
        <v>27</v>
      </c>
      <c r="P12" s="1" t="s">
        <v>28</v>
      </c>
      <c r="Q12" s="1" t="s">
        <v>29</v>
      </c>
    </row>
    <row r="13" spans="1:17">
      <c r="A13">
        <v>16.001450999999999</v>
      </c>
      <c r="B13">
        <v>-3696474.2384123201</v>
      </c>
      <c r="C13">
        <v>-0.44213256331740403</v>
      </c>
      <c r="D13">
        <v>-3730560.7594775301</v>
      </c>
      <c r="E13">
        <v>-0.40257695685338901</v>
      </c>
      <c r="F13">
        <v>1570342.29891206</v>
      </c>
      <c r="G13">
        <v>0.61083357048822196</v>
      </c>
      <c r="H13">
        <v>1583962.08177616</v>
      </c>
      <c r="I13">
        <v>0.20439099506580299</v>
      </c>
      <c r="J13" t="str">
        <f>COMPLEX(B13,F13)</f>
        <v>-3696474.23841232+1570342.29891206i</v>
      </c>
      <c r="K13" t="str">
        <f t="shared" ref="K13:M13" si="0">COMPLEX(C13,G13)</f>
        <v>-0.442132563317404+0.610833570488222i</v>
      </c>
      <c r="L13" t="str">
        <f t="shared" si="0"/>
        <v>-3730560.75947753+1583962.08177616i</v>
      </c>
      <c r="M13" t="str">
        <f t="shared" si="0"/>
        <v>-0.402576956853389+0.204390995065803i</v>
      </c>
      <c r="N13">
        <f>20*LOG(IMABS(J13))</f>
        <v>132.0763158689912</v>
      </c>
      <c r="O13">
        <f t="shared" ref="O13:Q13" si="1">20*LOG(IMABS(K13))</f>
        <v>-2.4519401966581551</v>
      </c>
      <c r="P13">
        <f t="shared" si="1"/>
        <v>132.15532332914424</v>
      </c>
      <c r="Q13">
        <f t="shared" si="1"/>
        <v>-6.9070231206284616</v>
      </c>
    </row>
    <row r="14" spans="1:17">
      <c r="A14">
        <v>20.143118000000001</v>
      </c>
      <c r="B14">
        <v>3984932.5243192101</v>
      </c>
      <c r="C14">
        <v>-0.84487329866081895</v>
      </c>
      <c r="D14">
        <v>4021239.0597005598</v>
      </c>
      <c r="E14">
        <v>0.93513919115042599</v>
      </c>
      <c r="F14">
        <v>566934.45938856003</v>
      </c>
      <c r="G14">
        <v>-0.54717388803881095</v>
      </c>
      <c r="H14">
        <v>572779.75540471706</v>
      </c>
      <c r="I14">
        <v>-0.80022277960195598</v>
      </c>
      <c r="J14" t="str">
        <f t="shared" ref="J14:J74" si="2">COMPLEX(B14,F14)</f>
        <v>3984932.52431921+566934.45938856i</v>
      </c>
      <c r="K14" t="str">
        <f t="shared" ref="K14:K74" si="3">COMPLEX(C14,G14)</f>
        <v>-0.844873298660819-0.547173888038811i</v>
      </c>
      <c r="L14" t="str">
        <f t="shared" ref="L14:L74" si="4">COMPLEX(D14,H14)</f>
        <v>4021239.05970056+572779.755404717i</v>
      </c>
      <c r="M14" t="str">
        <f t="shared" ref="M14:M74" si="5">COMPLEX(E14,I14)</f>
        <v>0.935139191150426-0.800222779601956i</v>
      </c>
      <c r="N14">
        <f t="shared" ref="N14:N74" si="6">20*LOG(IMABS(J14))</f>
        <v>132.09544553729128</v>
      </c>
      <c r="O14">
        <f t="shared" ref="O14:O74" si="7">20*LOG(IMABS(K14))</f>
        <v>5.6995337036370705E-2</v>
      </c>
      <c r="P14">
        <f t="shared" ref="P14:P74" si="8">20*LOG(IMABS(L14))</f>
        <v>132.17442887585838</v>
      </c>
      <c r="Q14">
        <f t="shared" ref="Q14:Q74" si="9">20*LOG(IMABS(M14))</f>
        <v>1.8036728147490368</v>
      </c>
    </row>
    <row r="15" spans="1:17">
      <c r="A15">
        <v>25.362767999999999</v>
      </c>
      <c r="B15">
        <v>-4029815.4445016999</v>
      </c>
      <c r="C15">
        <v>8.9585052298785106E-2</v>
      </c>
      <c r="D15">
        <v>-4066619.3847457101</v>
      </c>
      <c r="E15">
        <v>-0.42576937916024699</v>
      </c>
      <c r="F15">
        <v>-77747.765163319593</v>
      </c>
      <c r="G15">
        <v>-0.94014471984471903</v>
      </c>
      <c r="H15">
        <v>-79046.008958177001</v>
      </c>
      <c r="I15">
        <v>-0.13804964936518299</v>
      </c>
      <c r="J15" t="str">
        <f t="shared" si="2"/>
        <v>-4029815.4445017-77747.7651633196i</v>
      </c>
      <c r="K15" t="str">
        <f t="shared" si="3"/>
        <v>0.0895850522987851-0.940144719844719i</v>
      </c>
      <c r="L15" t="str">
        <f t="shared" si="4"/>
        <v>-4066619.38474571-79046.008958177i</v>
      </c>
      <c r="M15" t="str">
        <f t="shared" si="5"/>
        <v>-0.425769379160247-0.138049649365183i</v>
      </c>
      <c r="N15">
        <f t="shared" si="6"/>
        <v>132.10731939160462</v>
      </c>
      <c r="O15">
        <f t="shared" si="7"/>
        <v>-0.49685016474076626</v>
      </c>
      <c r="P15">
        <f t="shared" si="8"/>
        <v>132.18631110161002</v>
      </c>
      <c r="Q15">
        <f t="shared" si="9"/>
        <v>-6.9823824883394785</v>
      </c>
    </row>
    <row r="16" spans="1:17">
      <c r="A16">
        <v>31.929302</v>
      </c>
      <c r="B16">
        <v>2392581.6175484802</v>
      </c>
      <c r="C16">
        <v>-4.80648444681957E-2</v>
      </c>
      <c r="D16">
        <v>2414865.6230901498</v>
      </c>
      <c r="E16">
        <v>0.32569051785701297</v>
      </c>
      <c r="F16">
        <v>-3248125.8631330598</v>
      </c>
      <c r="G16">
        <v>0.376929393560892</v>
      </c>
      <c r="H16">
        <v>-3277479.8914620499</v>
      </c>
      <c r="I16">
        <v>8.9430541842284092E-3</v>
      </c>
      <c r="J16" t="str">
        <f t="shared" si="2"/>
        <v>2392581.61754848-3248125.86313306i</v>
      </c>
      <c r="K16" t="str">
        <f t="shared" si="3"/>
        <v>-0.0480648444681957+0.376929393560892i</v>
      </c>
      <c r="L16" t="str">
        <f t="shared" si="4"/>
        <v>2414865.62309015-3277479.89146205i</v>
      </c>
      <c r="M16" t="str">
        <f t="shared" si="5"/>
        <v>0.325690517857013+0.00894305418422841i</v>
      </c>
      <c r="N16">
        <f t="shared" si="6"/>
        <v>132.11514817522942</v>
      </c>
      <c r="O16">
        <f t="shared" si="7"/>
        <v>-8.404749239326522</v>
      </c>
      <c r="P16">
        <f t="shared" si="8"/>
        <v>132.19412933335377</v>
      </c>
      <c r="Q16">
        <f t="shared" si="9"/>
        <v>-9.7406244334496979</v>
      </c>
    </row>
    <row r="17" spans="1:17">
      <c r="A17">
        <v>40.195312000000001</v>
      </c>
      <c r="B17">
        <v>3958156.0292676301</v>
      </c>
      <c r="C17">
        <v>-0.95958116686683903</v>
      </c>
      <c r="D17">
        <v>3994204.7148422301</v>
      </c>
      <c r="E17">
        <v>9.3909188764713006E-2</v>
      </c>
      <c r="F17">
        <v>791313.94343737594</v>
      </c>
      <c r="G17">
        <v>-0.30551420008337199</v>
      </c>
      <c r="H17">
        <v>799040.54174668703</v>
      </c>
      <c r="I17">
        <v>-0.22565862431684899</v>
      </c>
      <c r="J17" t="str">
        <f t="shared" si="2"/>
        <v>3958156.02926763+791313.943437376i</v>
      </c>
      <c r="K17" t="str">
        <f t="shared" si="3"/>
        <v>-0.959581166866839-0.305514200083372i</v>
      </c>
      <c r="L17" t="str">
        <f t="shared" si="4"/>
        <v>3994204.71484223+799040.541746687i</v>
      </c>
      <c r="M17" t="str">
        <f t="shared" si="5"/>
        <v>0.093909188764713-0.225658624316849i</v>
      </c>
      <c r="N17">
        <f t="shared" si="6"/>
        <v>132.120057730485</v>
      </c>
      <c r="O17">
        <f t="shared" si="7"/>
        <v>6.0957466924720156E-2</v>
      </c>
      <c r="P17">
        <f t="shared" si="8"/>
        <v>132.19902327388894</v>
      </c>
      <c r="Q17">
        <f t="shared" si="9"/>
        <v>-12.237293260924357</v>
      </c>
    </row>
    <row r="18" spans="1:17">
      <c r="A18">
        <v>50.597405000000002</v>
      </c>
      <c r="B18">
        <v>4037888.1455876301</v>
      </c>
      <c r="C18">
        <v>9.1163230082829401</v>
      </c>
      <c r="D18">
        <v>4074764.22738933</v>
      </c>
      <c r="E18">
        <v>8.0857051859091804</v>
      </c>
      <c r="F18">
        <v>21884.8528394532</v>
      </c>
      <c r="G18">
        <v>-2.7845924298096998</v>
      </c>
      <c r="H18">
        <v>22604.076502479798</v>
      </c>
      <c r="I18">
        <v>-5.7145242138206003</v>
      </c>
      <c r="J18" t="str">
        <f t="shared" si="2"/>
        <v>4037888.14558763+21884.8528394532i</v>
      </c>
      <c r="K18" t="str">
        <f t="shared" si="3"/>
        <v>9.11632300828294-2.7845924298097i</v>
      </c>
      <c r="L18" t="str">
        <f t="shared" si="4"/>
        <v>4074764.22738933+22604.0765024798i</v>
      </c>
      <c r="M18" t="str">
        <f t="shared" si="5"/>
        <v>8.08570518590918-5.7145242138206i</v>
      </c>
      <c r="N18">
        <f t="shared" si="6"/>
        <v>132.12321325814895</v>
      </c>
      <c r="O18">
        <f t="shared" si="7"/>
        <v>19.583789471160141</v>
      </c>
      <c r="P18">
        <f t="shared" si="8"/>
        <v>132.20218333908514</v>
      </c>
      <c r="Q18">
        <f t="shared" si="9"/>
        <v>19.913785631424567</v>
      </c>
    </row>
    <row r="19" spans="1:17">
      <c r="A19">
        <v>63.69847</v>
      </c>
      <c r="B19">
        <v>-1159586.69290365</v>
      </c>
      <c r="C19">
        <v>-5.5858284843247299E-2</v>
      </c>
      <c r="D19">
        <v>-1169656.99151014</v>
      </c>
      <c r="E19">
        <v>-0.82020663338236099</v>
      </c>
      <c r="F19">
        <v>-3868849.9156279801</v>
      </c>
      <c r="G19">
        <v>0.28562870318948702</v>
      </c>
      <c r="H19">
        <v>-3904337.1406230102</v>
      </c>
      <c r="I19">
        <v>-0.26934907358125498</v>
      </c>
      <c r="J19" t="str">
        <f t="shared" si="2"/>
        <v>-1159586.69290365-3868849.91562798i</v>
      </c>
      <c r="K19" t="str">
        <f t="shared" si="3"/>
        <v>-0.0558582848432473+0.285628703189487i</v>
      </c>
      <c r="L19" t="str">
        <f t="shared" si="4"/>
        <v>-1169656.99151014-3904337.14062301i</v>
      </c>
      <c r="M19" t="str">
        <f t="shared" si="5"/>
        <v>-0.820206633382361-0.269349073581255i</v>
      </c>
      <c r="N19">
        <f t="shared" si="6"/>
        <v>132.12524277716287</v>
      </c>
      <c r="O19">
        <f t="shared" si="7"/>
        <v>-10.720965722246138</v>
      </c>
      <c r="P19">
        <f t="shared" si="8"/>
        <v>132.20420510310169</v>
      </c>
      <c r="Q19">
        <f t="shared" si="9"/>
        <v>-1.2767596174716389</v>
      </c>
    </row>
    <row r="20" spans="1:17">
      <c r="A20">
        <v>80.201261000000002</v>
      </c>
      <c r="B20">
        <v>3652906.6028931299</v>
      </c>
      <c r="C20">
        <v>-0.35734016984587502</v>
      </c>
      <c r="D20">
        <v>3686006.8855340602</v>
      </c>
      <c r="E20">
        <v>-0.78169104896392205</v>
      </c>
      <c r="F20">
        <v>1724391.1069612501</v>
      </c>
      <c r="G20">
        <v>8.0910642878339503E-2</v>
      </c>
      <c r="H20">
        <v>1740680.6698834801</v>
      </c>
      <c r="I20">
        <v>0.34600902525004701</v>
      </c>
      <c r="J20" t="str">
        <f t="shared" si="2"/>
        <v>3652906.60289313+1724391.10696125i</v>
      </c>
      <c r="K20" t="str">
        <f t="shared" si="3"/>
        <v>-0.357340169845875+0.0809106428783395i</v>
      </c>
      <c r="L20" t="str">
        <f t="shared" si="4"/>
        <v>3686006.88553406+1740680.66988348i</v>
      </c>
      <c r="M20" t="str">
        <f t="shared" si="5"/>
        <v>-0.781691048963922+0.346009025250047i</v>
      </c>
      <c r="N20">
        <f t="shared" si="6"/>
        <v>132.12647003146822</v>
      </c>
      <c r="O20">
        <f t="shared" si="7"/>
        <v>-8.7212281515737793</v>
      </c>
      <c r="P20">
        <f t="shared" si="8"/>
        <v>132.20542582514389</v>
      </c>
      <c r="Q20">
        <f t="shared" si="9"/>
        <v>-1.3622336582143904</v>
      </c>
    </row>
    <row r="21" spans="1:17">
      <c r="A21">
        <v>100.96802700000001</v>
      </c>
      <c r="B21">
        <v>4021528.9507421898</v>
      </c>
      <c r="C21">
        <v>0.82105884008004604</v>
      </c>
      <c r="D21">
        <v>4058205.0445108502</v>
      </c>
      <c r="E21">
        <v>-0.85788038785474396</v>
      </c>
      <c r="F21">
        <v>383752.81004131399</v>
      </c>
      <c r="G21">
        <v>0.11096204728603901</v>
      </c>
      <c r="H21">
        <v>387949.04223373398</v>
      </c>
      <c r="I21">
        <v>0.28717613839918898</v>
      </c>
      <c r="J21" t="str">
        <f t="shared" si="2"/>
        <v>4021528.95074219+383752.810041314i</v>
      </c>
      <c r="K21" t="str">
        <f t="shared" si="3"/>
        <v>0.821058840080046+0.110962047286039i</v>
      </c>
      <c r="L21" t="str">
        <f t="shared" si="4"/>
        <v>4058205.04451085+387949.042233734i</v>
      </c>
      <c r="M21" t="str">
        <f t="shared" si="5"/>
        <v>-0.857880387854744+0.287176138399189i</v>
      </c>
      <c r="N21">
        <f t="shared" si="6"/>
        <v>132.12719125119332</v>
      </c>
      <c r="O21">
        <f t="shared" si="7"/>
        <v>-1.6339096739037267</v>
      </c>
      <c r="P21">
        <f t="shared" si="8"/>
        <v>132.20618806838814</v>
      </c>
      <c r="Q21">
        <f t="shared" si="9"/>
        <v>-0.87019046417975965</v>
      </c>
    </row>
    <row r="22" spans="1:17">
      <c r="A22">
        <v>127.10439</v>
      </c>
      <c r="B22">
        <v>-3645521.8659095298</v>
      </c>
      <c r="C22">
        <v>0.428512423910964</v>
      </c>
      <c r="D22">
        <v>-3679174.26350966</v>
      </c>
      <c r="E22">
        <v>0.164505242246231</v>
      </c>
      <c r="F22">
        <v>1741199.3421519001</v>
      </c>
      <c r="G22">
        <v>-0.49568616775601698</v>
      </c>
      <c r="H22">
        <v>1756364.2202897801</v>
      </c>
      <c r="I22">
        <v>0.49482764719741201</v>
      </c>
      <c r="J22" t="str">
        <f t="shared" si="2"/>
        <v>-3645521.86590953+1741199.3421519i</v>
      </c>
      <c r="K22" t="str">
        <f t="shared" si="3"/>
        <v>0.428512423910964-0.495686167756017i</v>
      </c>
      <c r="L22" t="str">
        <f t="shared" si="4"/>
        <v>-3679174.26350966+1756364.22028978i</v>
      </c>
      <c r="M22" t="str">
        <f t="shared" si="5"/>
        <v>0.164505242246231+0.494827647197412i</v>
      </c>
      <c r="N22">
        <f t="shared" si="6"/>
        <v>132.12762858579208</v>
      </c>
      <c r="O22">
        <f t="shared" si="7"/>
        <v>-3.6721111610843851</v>
      </c>
      <c r="P22">
        <f t="shared" si="8"/>
        <v>132.20660769314941</v>
      </c>
      <c r="Q22">
        <f t="shared" si="9"/>
        <v>-5.6556463784697453</v>
      </c>
    </row>
    <row r="23" spans="1:17">
      <c r="A23">
        <v>160.00702200000001</v>
      </c>
      <c r="B23">
        <v>1860733.95397203</v>
      </c>
      <c r="C23">
        <v>-0.72850255423108201</v>
      </c>
      <c r="D23">
        <v>1876850.9375537699</v>
      </c>
      <c r="E23">
        <v>-0.34863648636949102</v>
      </c>
      <c r="F23">
        <v>3586153.2884258199</v>
      </c>
      <c r="G23">
        <v>-1.0748510106423299</v>
      </c>
      <c r="H23">
        <v>3619373.4282025401</v>
      </c>
      <c r="I23">
        <v>-0.38418803757477699</v>
      </c>
      <c r="J23" t="str">
        <f t="shared" si="2"/>
        <v>1860733.95397203+3586153.28842582i</v>
      </c>
      <c r="K23" t="str">
        <f t="shared" si="3"/>
        <v>-0.728502554231082-1.07485101064233i</v>
      </c>
      <c r="L23" t="str">
        <f t="shared" si="4"/>
        <v>1876850.93755377+3619373.42820254i</v>
      </c>
      <c r="M23" t="str">
        <f t="shared" si="5"/>
        <v>-0.348636486369491-0.384188037574777i</v>
      </c>
      <c r="N23">
        <f t="shared" si="6"/>
        <v>132.12795357905679</v>
      </c>
      <c r="O23">
        <f t="shared" si="7"/>
        <v>2.2686289373792414</v>
      </c>
      <c r="P23">
        <f t="shared" si="8"/>
        <v>132.20694602993939</v>
      </c>
      <c r="Q23">
        <f t="shared" si="9"/>
        <v>-5.7000908853406624</v>
      </c>
    </row>
    <row r="24" spans="1:17">
      <c r="A24">
        <v>201.45634899999999</v>
      </c>
      <c r="B24">
        <v>3620045.9612591998</v>
      </c>
      <c r="C24">
        <v>0.21260361050314899</v>
      </c>
      <c r="D24">
        <v>3652576.3493110701</v>
      </c>
      <c r="E24">
        <v>0.170442968102828</v>
      </c>
      <c r="F24">
        <v>1793849.6255930001</v>
      </c>
      <c r="G24">
        <v>-0.236326335110327</v>
      </c>
      <c r="H24">
        <v>1811329.83767554</v>
      </c>
      <c r="I24">
        <v>0.32727982412238599</v>
      </c>
      <c r="J24" t="str">
        <f t="shared" si="2"/>
        <v>3620045.9612592+1793849.625593i</v>
      </c>
      <c r="K24" t="str">
        <f t="shared" si="3"/>
        <v>0.212603610503149-0.236326335110327i</v>
      </c>
      <c r="L24" t="str">
        <f t="shared" si="4"/>
        <v>3652576.34931107+1811329.83767554i</v>
      </c>
      <c r="M24" t="str">
        <f t="shared" si="5"/>
        <v>0.170442968102828+0.327279824122386i</v>
      </c>
      <c r="N24">
        <f t="shared" si="6"/>
        <v>132.12790115988349</v>
      </c>
      <c r="O24">
        <f t="shared" si="7"/>
        <v>-9.9546182607278073</v>
      </c>
      <c r="P24">
        <f t="shared" si="8"/>
        <v>132.20689281250645</v>
      </c>
      <c r="Q24">
        <f t="shared" si="9"/>
        <v>-8.6594124373956198</v>
      </c>
    </row>
    <row r="25" spans="1:17">
      <c r="A25">
        <v>253.58521099999999</v>
      </c>
      <c r="B25">
        <v>3493775.36840491</v>
      </c>
      <c r="C25">
        <v>-0.32856243583747202</v>
      </c>
      <c r="D25">
        <v>3526474.9741900801</v>
      </c>
      <c r="E25">
        <v>-0.20583279381177899</v>
      </c>
      <c r="F25">
        <v>-2028607.6864706499</v>
      </c>
      <c r="G25">
        <v>0.62850283600370205</v>
      </c>
      <c r="H25">
        <v>-2045850.9732083899</v>
      </c>
      <c r="I25">
        <v>9.9191570284318895E-2</v>
      </c>
      <c r="J25" t="str">
        <f t="shared" si="2"/>
        <v>3493775.36840491-2028607.68647065i</v>
      </c>
      <c r="K25" t="str">
        <f t="shared" si="3"/>
        <v>-0.328562435837472+0.628502836003702i</v>
      </c>
      <c r="L25" t="str">
        <f t="shared" si="4"/>
        <v>3526474.97419008-2045850.97320839i</v>
      </c>
      <c r="M25" t="str">
        <f t="shared" si="5"/>
        <v>-0.205832793811779+0.0991915702843189i</v>
      </c>
      <c r="N25">
        <f t="shared" si="6"/>
        <v>132.12765802715035</v>
      </c>
      <c r="O25">
        <f t="shared" si="7"/>
        <v>-2.9845870449131819</v>
      </c>
      <c r="P25">
        <f t="shared" si="8"/>
        <v>132.20671048688433</v>
      </c>
      <c r="Q25">
        <f t="shared" si="9"/>
        <v>-12.822786939724786</v>
      </c>
    </row>
    <row r="26" spans="1:17">
      <c r="A26">
        <v>319.290075</v>
      </c>
      <c r="B26">
        <v>-3495929.2481139801</v>
      </c>
      <c r="C26">
        <v>-0.13984435269293399</v>
      </c>
      <c r="D26">
        <v>-3528834.9537234302</v>
      </c>
      <c r="E26">
        <v>0.58089728067066904</v>
      </c>
      <c r="F26">
        <v>2024659.2294232999</v>
      </c>
      <c r="G26">
        <v>0.20714528723786399</v>
      </c>
      <c r="H26">
        <v>2041547.4366444901</v>
      </c>
      <c r="I26">
        <v>-0.53230591037570196</v>
      </c>
      <c r="J26" t="str">
        <f t="shared" si="2"/>
        <v>-3495929.24811398+2024659.2294233i</v>
      </c>
      <c r="K26" t="str">
        <f t="shared" si="3"/>
        <v>-0.139844352692934+0.207145287237864i</v>
      </c>
      <c r="L26" t="str">
        <f t="shared" si="4"/>
        <v>-3528834.95372343+2041547.43664449i</v>
      </c>
      <c r="M26" t="str">
        <f t="shared" si="5"/>
        <v>0.580897280670669-0.532305910375702i</v>
      </c>
      <c r="N26">
        <f t="shared" si="6"/>
        <v>132.12740546170176</v>
      </c>
      <c r="O26">
        <f t="shared" si="7"/>
        <v>-12.043589937280377</v>
      </c>
      <c r="P26">
        <f t="shared" si="8"/>
        <v>132.20646490369663</v>
      </c>
      <c r="Q26">
        <f t="shared" si="9"/>
        <v>-2.0705442500542652</v>
      </c>
    </row>
    <row r="27" spans="1:17">
      <c r="A27">
        <v>401.94414</v>
      </c>
      <c r="B27">
        <v>251758.12871870701</v>
      </c>
      <c r="C27">
        <v>0.79956537730032395</v>
      </c>
      <c r="D27">
        <v>251717.944261831</v>
      </c>
      <c r="E27">
        <v>-0.169756436853788</v>
      </c>
      <c r="F27">
        <v>4031807.2876027799</v>
      </c>
      <c r="G27">
        <v>5.2262841251593202E-2</v>
      </c>
      <c r="H27">
        <v>4068852.1594527098</v>
      </c>
      <c r="I27">
        <v>5.90602767643175E-2</v>
      </c>
      <c r="J27" t="str">
        <f t="shared" si="2"/>
        <v>251758.128718707+4031807.28760278i</v>
      </c>
      <c r="K27" t="str">
        <f t="shared" si="3"/>
        <v>0.799565377300324+0.0522628412515932i</v>
      </c>
      <c r="L27" t="str">
        <f t="shared" si="4"/>
        <v>251717.944261831+4068852.15945271i</v>
      </c>
      <c r="M27" t="str">
        <f t="shared" si="5"/>
        <v>-0.169756436853788+0.0590602767643175i</v>
      </c>
      <c r="N27">
        <f t="shared" si="6"/>
        <v>132.12689607958208</v>
      </c>
      <c r="O27">
        <f t="shared" si="7"/>
        <v>-1.9244048629142676</v>
      </c>
      <c r="P27">
        <f t="shared" si="8"/>
        <v>132.20602792497652</v>
      </c>
      <c r="Q27">
        <f t="shared" si="9"/>
        <v>-14.907253592462009</v>
      </c>
    </row>
    <row r="28" spans="1:17">
      <c r="A28">
        <v>506.01529900000003</v>
      </c>
      <c r="B28">
        <v>3802186.3288692702</v>
      </c>
      <c r="C28">
        <v>-0.26645786122666199</v>
      </c>
      <c r="D28">
        <v>3838009.5585099901</v>
      </c>
      <c r="E28">
        <v>0.25726432477954198</v>
      </c>
      <c r="F28">
        <v>-1363754.4773303501</v>
      </c>
      <c r="G28">
        <v>-0.45271928520617499</v>
      </c>
      <c r="H28">
        <v>-1373478.2907946799</v>
      </c>
      <c r="I28">
        <v>1.21470035350418</v>
      </c>
      <c r="J28" t="str">
        <f t="shared" si="2"/>
        <v>3802186.32886927-1363754.47733035i</v>
      </c>
      <c r="K28" t="str">
        <f t="shared" si="3"/>
        <v>-0.266457861226662-0.452719285206175i</v>
      </c>
      <c r="L28" t="str">
        <f t="shared" si="4"/>
        <v>3838009.55850999-1373478.29079468i</v>
      </c>
      <c r="M28" t="str">
        <f t="shared" si="5"/>
        <v>0.257264324779542+1.21470035350418i</v>
      </c>
      <c r="N28">
        <f t="shared" si="6"/>
        <v>132.12625598692199</v>
      </c>
      <c r="O28">
        <f t="shared" si="7"/>
        <v>-5.5916245180105841</v>
      </c>
      <c r="P28">
        <f t="shared" si="8"/>
        <v>132.20546346935484</v>
      </c>
      <c r="Q28">
        <f t="shared" si="9"/>
        <v>1.879947684519641</v>
      </c>
    </row>
    <row r="29" spans="1:17">
      <c r="A29">
        <v>636.97722999999996</v>
      </c>
      <c r="B29">
        <v>4031616.3299621502</v>
      </c>
      <c r="C29">
        <v>-0.33147416424777598</v>
      </c>
      <c r="D29">
        <v>4068853.5138562</v>
      </c>
      <c r="E29">
        <v>9.8864089291955698E-2</v>
      </c>
      <c r="F29">
        <v>-243919.96898806401</v>
      </c>
      <c r="G29">
        <v>0.34747676751047502</v>
      </c>
      <c r="H29">
        <v>-242478.013184082</v>
      </c>
      <c r="I29">
        <v>-0.47044272466584502</v>
      </c>
      <c r="J29" t="str">
        <f t="shared" si="2"/>
        <v>4031616.32996215-243919.968988064i</v>
      </c>
      <c r="K29" t="str">
        <f t="shared" si="3"/>
        <v>-0.331474164247776+0.347476767510475i</v>
      </c>
      <c r="L29" t="str">
        <f t="shared" si="4"/>
        <v>4068853.5138562-242478.013184082i</v>
      </c>
      <c r="M29" t="str">
        <f t="shared" si="5"/>
        <v>0.0988640892919557-0.470442724665845i</v>
      </c>
      <c r="N29">
        <f t="shared" si="6"/>
        <v>132.12545208767733</v>
      </c>
      <c r="O29">
        <f t="shared" si="7"/>
        <v>-6.371120233966284</v>
      </c>
      <c r="P29">
        <f t="shared" si="8"/>
        <v>132.20483734261018</v>
      </c>
      <c r="Q29">
        <f t="shared" si="9"/>
        <v>-6.3621797288757147</v>
      </c>
    </row>
    <row r="30" spans="1:17">
      <c r="A30">
        <v>801.91144499999996</v>
      </c>
      <c r="B30">
        <v>-1828069.2166597201</v>
      </c>
      <c r="C30">
        <v>-0.241304836407401</v>
      </c>
      <c r="D30">
        <v>-1840773.54483353</v>
      </c>
      <c r="E30">
        <v>0.24011583686083501</v>
      </c>
      <c r="F30">
        <v>-3601290.8887375798</v>
      </c>
      <c r="G30">
        <v>7.5187197452814797E-2</v>
      </c>
      <c r="H30">
        <v>-3636541.7794554299</v>
      </c>
      <c r="I30">
        <v>-9.14668775451003E-2</v>
      </c>
      <c r="J30" t="str">
        <f t="shared" si="2"/>
        <v>-1828069.21665972-3601290.88873758i</v>
      </c>
      <c r="K30" t="str">
        <f t="shared" si="3"/>
        <v>-0.241304836407401+0.0751871974528148i</v>
      </c>
      <c r="L30" t="str">
        <f t="shared" si="4"/>
        <v>-1840773.54483353-3636541.77945543i</v>
      </c>
      <c r="M30" t="str">
        <f t="shared" si="5"/>
        <v>0.240115836860835-0.0914668775451003i</v>
      </c>
      <c r="N30">
        <f t="shared" si="6"/>
        <v>132.12484132307205</v>
      </c>
      <c r="O30">
        <f t="shared" si="7"/>
        <v>-11.946273508043245</v>
      </c>
      <c r="P30">
        <f t="shared" si="8"/>
        <v>132.20445015798501</v>
      </c>
      <c r="Q30">
        <f t="shared" si="9"/>
        <v>-11.803126077907287</v>
      </c>
    </row>
    <row r="31" spans="1:17">
      <c r="A31">
        <v>1009.546788</v>
      </c>
      <c r="B31">
        <v>2641999.9144645999</v>
      </c>
      <c r="C31">
        <v>-0.13500711763172399</v>
      </c>
      <c r="D31">
        <v>2662051.4929453302</v>
      </c>
      <c r="E31">
        <v>-0.192198982586266</v>
      </c>
      <c r="F31">
        <v>3054357.26584141</v>
      </c>
      <c r="G31">
        <v>0.81015005851507904</v>
      </c>
      <c r="H31">
        <v>3086413.26375406</v>
      </c>
      <c r="I31">
        <v>-0.168067693622414</v>
      </c>
      <c r="J31" t="str">
        <f t="shared" si="2"/>
        <v>2641999.9144646+3054357.26584141i</v>
      </c>
      <c r="K31" t="str">
        <f t="shared" si="3"/>
        <v>-0.135007117631724+0.810150058515079i</v>
      </c>
      <c r="L31" t="str">
        <f t="shared" si="4"/>
        <v>2662051.49294533+3086413.26375406i</v>
      </c>
      <c r="M31" t="str">
        <f t="shared" si="5"/>
        <v>-0.192198982586266-0.168067693622414i</v>
      </c>
      <c r="N31">
        <f t="shared" si="6"/>
        <v>132.12434305652889</v>
      </c>
      <c r="O31">
        <f t="shared" si="7"/>
        <v>-1.7097295181034653</v>
      </c>
      <c r="P31">
        <f t="shared" si="8"/>
        <v>132.20434078585663</v>
      </c>
      <c r="Q31">
        <f t="shared" si="9"/>
        <v>-11.858376825865831</v>
      </c>
    </row>
    <row r="32" spans="1:17">
      <c r="A32">
        <v>1271.06546</v>
      </c>
      <c r="B32">
        <v>-465445.20569405099</v>
      </c>
      <c r="C32">
        <v>-5.4766711018922901E-2</v>
      </c>
      <c r="D32">
        <v>-477008.94674800802</v>
      </c>
      <c r="E32">
        <v>5.4398808178646098E-2</v>
      </c>
      <c r="F32">
        <v>4011168.62887746</v>
      </c>
      <c r="G32">
        <v>-1.3381326923086001</v>
      </c>
      <c r="H32">
        <v>4047699.7803059299</v>
      </c>
      <c r="I32">
        <v>-1.08102242402217</v>
      </c>
      <c r="J32" t="str">
        <f t="shared" si="2"/>
        <v>-465445.205694051+4011168.62887746i</v>
      </c>
      <c r="K32" t="str">
        <f t="shared" si="3"/>
        <v>-0.0547667110189229-1.3381326923086i</v>
      </c>
      <c r="L32" t="str">
        <f t="shared" si="4"/>
        <v>-477008.946748008+4047699.78030593i</v>
      </c>
      <c r="M32" t="str">
        <f t="shared" si="5"/>
        <v>0.0543988081786461-1.08102242402217i</v>
      </c>
      <c r="N32">
        <f t="shared" si="6"/>
        <v>132.12350447857122</v>
      </c>
      <c r="O32">
        <f t="shared" si="7"/>
        <v>2.5372523080292564</v>
      </c>
      <c r="P32">
        <f t="shared" si="8"/>
        <v>132.20406524913537</v>
      </c>
      <c r="Q32">
        <f t="shared" si="9"/>
        <v>0.68767764704736489</v>
      </c>
    </row>
    <row r="33" spans="1:17">
      <c r="A33">
        <v>1600.019278</v>
      </c>
      <c r="B33">
        <v>-480464.66351172799</v>
      </c>
      <c r="C33">
        <v>-7.7368763370541896E-2</v>
      </c>
      <c r="D33">
        <v>-475959.20161756</v>
      </c>
      <c r="E33">
        <v>0.98367565701950499</v>
      </c>
      <c r="F33">
        <v>-4007900.8795799101</v>
      </c>
      <c r="G33">
        <v>-0.195781761917735</v>
      </c>
      <c r="H33">
        <v>-4046745.44295495</v>
      </c>
      <c r="I33">
        <v>-0.23154248263791399</v>
      </c>
      <c r="J33" t="str">
        <f t="shared" si="2"/>
        <v>-480464.663511728-4007900.87957991i</v>
      </c>
      <c r="K33" t="str">
        <f t="shared" si="3"/>
        <v>-0.0773687633705419-0.195781761917735i</v>
      </c>
      <c r="L33" t="str">
        <f t="shared" si="4"/>
        <v>-475959.20161756-4046745.44295495i</v>
      </c>
      <c r="M33" t="str">
        <f t="shared" si="5"/>
        <v>0.983675657019505-0.231542482637914i</v>
      </c>
      <c r="N33">
        <f t="shared" si="6"/>
        <v>132.12030797214183</v>
      </c>
      <c r="O33">
        <f t="shared" si="7"/>
        <v>-13.534352926614543</v>
      </c>
      <c r="P33">
        <f t="shared" si="8"/>
        <v>132.2017835020074</v>
      </c>
      <c r="Q33">
        <f t="shared" si="9"/>
        <v>9.1234450059638289E-2</v>
      </c>
    </row>
    <row r="34" spans="1:17">
      <c r="A34">
        <v>2014.3138919999999</v>
      </c>
      <c r="B34">
        <v>108721.014206696</v>
      </c>
      <c r="C34">
        <v>0.446622199705551</v>
      </c>
      <c r="D34">
        <v>121099.913404344</v>
      </c>
      <c r="E34">
        <v>-0.791525373113946</v>
      </c>
      <c r="F34">
        <v>-4032271.0103598</v>
      </c>
      <c r="G34">
        <v>-0.21962064605376899</v>
      </c>
      <c r="H34">
        <v>-4070626.8567394498</v>
      </c>
      <c r="I34">
        <v>-1.7509193291743299E-2</v>
      </c>
      <c r="J34" t="str">
        <f t="shared" si="2"/>
        <v>108721.014206696-4032271.0103598i</v>
      </c>
      <c r="K34" t="str">
        <f t="shared" si="3"/>
        <v>0.446622199705551-0.219620646053769i</v>
      </c>
      <c r="L34" t="str">
        <f t="shared" si="4"/>
        <v>121099.913404344-4070626.85673945i</v>
      </c>
      <c r="M34" t="str">
        <f t="shared" si="5"/>
        <v>-0.791525373113946-0.0175091932917433i</v>
      </c>
      <c r="N34">
        <f t="shared" si="6"/>
        <v>132.11415039408774</v>
      </c>
      <c r="O34">
        <f t="shared" si="7"/>
        <v>-6.060658976883607</v>
      </c>
      <c r="P34">
        <f t="shared" si="8"/>
        <v>132.19706787151287</v>
      </c>
      <c r="Q34">
        <f t="shared" si="9"/>
        <v>-2.0285785598705579</v>
      </c>
    </row>
    <row r="35" spans="1:17">
      <c r="A35">
        <v>2536.1076779999999</v>
      </c>
      <c r="B35">
        <v>2408055.4465124798</v>
      </c>
      <c r="C35">
        <v>-1.0252195902891399</v>
      </c>
      <c r="D35">
        <v>2420474.6344899</v>
      </c>
      <c r="E35">
        <v>-0.55630523990092995</v>
      </c>
      <c r="F35">
        <v>3232780.2107771998</v>
      </c>
      <c r="G35">
        <v>-0.63344119710166402</v>
      </c>
      <c r="H35">
        <v>3272998.3775189398</v>
      </c>
      <c r="I35">
        <v>0.28467806413907099</v>
      </c>
      <c r="J35" t="str">
        <f t="shared" si="2"/>
        <v>2408055.44651248+3232780.2107772i</v>
      </c>
      <c r="K35" t="str">
        <f t="shared" si="3"/>
        <v>-1.02521959028914-0.633441197101664i</v>
      </c>
      <c r="L35" t="str">
        <f t="shared" si="4"/>
        <v>2420474.6344899+3272998.37751894i</v>
      </c>
      <c r="M35" t="str">
        <f t="shared" si="5"/>
        <v>-0.55630523990093+0.284678064139071i</v>
      </c>
      <c r="N35">
        <f t="shared" si="6"/>
        <v>132.10842646117862</v>
      </c>
      <c r="O35">
        <f t="shared" si="7"/>
        <v>1.6206320279488424</v>
      </c>
      <c r="P35">
        <f t="shared" si="8"/>
        <v>132.19354373914553</v>
      </c>
      <c r="Q35">
        <f t="shared" si="9"/>
        <v>-4.0835992204086562</v>
      </c>
    </row>
    <row r="36" spans="1:17">
      <c r="A36">
        <v>3192.5215979999998</v>
      </c>
      <c r="B36">
        <v>452687.167729571</v>
      </c>
      <c r="C36">
        <v>0.141522382854507</v>
      </c>
      <c r="D36">
        <v>440140.40310976497</v>
      </c>
      <c r="E36">
        <v>0.35257600800510402</v>
      </c>
      <c r="F36">
        <v>4000193.6544443499</v>
      </c>
      <c r="G36">
        <v>2.7417467131697501E-2</v>
      </c>
      <c r="H36">
        <v>4043077.5708373301</v>
      </c>
      <c r="I36">
        <v>0.22091117123484599</v>
      </c>
      <c r="J36" t="str">
        <f t="shared" si="2"/>
        <v>452687.167729571+4000193.65444435i</v>
      </c>
      <c r="K36" t="str">
        <f t="shared" si="3"/>
        <v>0.141522382854507+0.0274174671316975i</v>
      </c>
      <c r="L36" t="str">
        <f t="shared" si="4"/>
        <v>440140.403109765+4043077.57083733i</v>
      </c>
      <c r="M36" t="str">
        <f t="shared" si="5"/>
        <v>0.352576008005104+0.220911171234846i</v>
      </c>
      <c r="N36">
        <f t="shared" si="6"/>
        <v>132.09688562136185</v>
      </c>
      <c r="O36">
        <f t="shared" si="7"/>
        <v>-16.823481377620332</v>
      </c>
      <c r="P36">
        <f t="shared" si="8"/>
        <v>132.18540751857546</v>
      </c>
      <c r="Q36">
        <f t="shared" si="9"/>
        <v>-7.6167386221983016</v>
      </c>
    </row>
    <row r="37" spans="1:17">
      <c r="A37">
        <v>4019.4603149999998</v>
      </c>
      <c r="B37">
        <v>-3873975.0215296498</v>
      </c>
      <c r="C37">
        <v>2.3724359379012201E-2</v>
      </c>
      <c r="D37">
        <v>-3921494.12137926</v>
      </c>
      <c r="E37">
        <v>-0.12817327910686099</v>
      </c>
      <c r="F37">
        <v>1069204.00378481</v>
      </c>
      <c r="G37">
        <v>-0.41568368901556602</v>
      </c>
      <c r="H37">
        <v>1060538.7846456899</v>
      </c>
      <c r="I37">
        <v>0.66590893036423304</v>
      </c>
      <c r="J37" t="str">
        <f t="shared" si="2"/>
        <v>-3873975.02152965+1069204.00378481i</v>
      </c>
      <c r="K37" t="str">
        <f t="shared" si="3"/>
        <v>0.0237243593790122-0.415683689015566i</v>
      </c>
      <c r="L37" t="str">
        <f t="shared" si="4"/>
        <v>-3921494.12137926+1060538.78464569i</v>
      </c>
      <c r="M37" t="str">
        <f t="shared" si="5"/>
        <v>-0.128173279106861+0.665908930364233i</v>
      </c>
      <c r="N37">
        <f t="shared" si="6"/>
        <v>132.08196181469074</v>
      </c>
      <c r="O37">
        <f t="shared" si="7"/>
        <v>-7.6106168726541732</v>
      </c>
      <c r="P37">
        <f t="shared" si="8"/>
        <v>132.17559180077706</v>
      </c>
      <c r="Q37">
        <f t="shared" si="9"/>
        <v>-3.3737144396530034</v>
      </c>
    </row>
    <row r="38" spans="1:17">
      <c r="A38">
        <v>5059.7908310000003</v>
      </c>
      <c r="B38">
        <v>-3457647.3329514898</v>
      </c>
      <c r="C38">
        <v>-1.7365637022234199</v>
      </c>
      <c r="D38">
        <v>-3485383.7733668899</v>
      </c>
      <c r="E38">
        <v>9.2132938783007795E-2</v>
      </c>
      <c r="F38">
        <v>-2025974.4131839001</v>
      </c>
      <c r="G38">
        <v>-1.28207786721354</v>
      </c>
      <c r="H38">
        <v>-2071224.8336479999</v>
      </c>
      <c r="I38">
        <v>-0.41919376859567697</v>
      </c>
      <c r="J38" t="str">
        <f t="shared" si="2"/>
        <v>-3457647.33295149-2025974.4131839i</v>
      </c>
      <c r="K38" t="str">
        <f t="shared" si="3"/>
        <v>-1.73656370222342-1.28207786721354i</v>
      </c>
      <c r="L38" t="str">
        <f t="shared" si="4"/>
        <v>-3485383.77336689-2071224.833648i</v>
      </c>
      <c r="M38" t="str">
        <f t="shared" si="5"/>
        <v>0.0921329387830078-0.419193768595677i</v>
      </c>
      <c r="N38">
        <f t="shared" si="6"/>
        <v>132.05742766477368</v>
      </c>
      <c r="O38">
        <f t="shared" si="7"/>
        <v>6.683278654832506</v>
      </c>
      <c r="P38">
        <f t="shared" si="8"/>
        <v>132.15845603808035</v>
      </c>
      <c r="Q38">
        <f t="shared" si="9"/>
        <v>-7.3468233207396878</v>
      </c>
    </row>
    <row r="39" spans="1:17">
      <c r="A39">
        <v>6369.7354210000003</v>
      </c>
      <c r="B39">
        <v>3804286.2044720799</v>
      </c>
      <c r="C39">
        <v>-0.974933650388769</v>
      </c>
      <c r="D39">
        <v>3844463.2369948099</v>
      </c>
      <c r="E39">
        <v>0.88391289011720098</v>
      </c>
      <c r="F39">
        <v>1212389.54862017</v>
      </c>
      <c r="G39">
        <v>0.78102903237986798</v>
      </c>
      <c r="H39">
        <v>1255672.6293170999</v>
      </c>
      <c r="I39">
        <v>-0.20643905911626201</v>
      </c>
      <c r="J39" t="str">
        <f t="shared" si="2"/>
        <v>3804286.20447208+1212389.54862017i</v>
      </c>
      <c r="K39" t="str">
        <f t="shared" si="3"/>
        <v>-0.974933650388769+0.781029032379868i</v>
      </c>
      <c r="L39" t="str">
        <f t="shared" si="4"/>
        <v>3844463.23699481+1255672.6293171i</v>
      </c>
      <c r="M39" t="str">
        <f t="shared" si="5"/>
        <v>0.883912890117201-0.206439059116262i</v>
      </c>
      <c r="N39">
        <f t="shared" si="6"/>
        <v>132.0255593376661</v>
      </c>
      <c r="O39">
        <f t="shared" si="7"/>
        <v>1.9326432184030233</v>
      </c>
      <c r="P39">
        <f t="shared" si="8"/>
        <v>132.13693334055336</v>
      </c>
      <c r="Q39">
        <f t="shared" si="9"/>
        <v>-0.84115438513561636</v>
      </c>
    </row>
    <row r="40" spans="1:17">
      <c r="A40">
        <v>8019.2636849999999</v>
      </c>
      <c r="B40">
        <v>3430107.2561406302</v>
      </c>
      <c r="C40">
        <v>-0.715424003092615</v>
      </c>
      <c r="D40">
        <v>3496165.89616718</v>
      </c>
      <c r="E40">
        <v>0.90353226299744305</v>
      </c>
      <c r="F40">
        <v>-2008568.37446333</v>
      </c>
      <c r="G40">
        <v>-6.03342005058689E-2</v>
      </c>
      <c r="H40">
        <v>-2009543.6667533801</v>
      </c>
      <c r="I40">
        <v>0.76233238750888599</v>
      </c>
      <c r="J40" t="str">
        <f t="shared" si="2"/>
        <v>3430107.25614063-2008568.37446333i</v>
      </c>
      <c r="K40" t="str">
        <f t="shared" si="3"/>
        <v>-0.715424003092615-0.0603342005058689i</v>
      </c>
      <c r="L40" t="str">
        <f t="shared" si="4"/>
        <v>3496165.89616718-2009543.66675338i</v>
      </c>
      <c r="M40" t="str">
        <f t="shared" si="5"/>
        <v>0.903532262997443+0.762332387508886i</v>
      </c>
      <c r="N40">
        <f t="shared" si="6"/>
        <v>131.98656611526025</v>
      </c>
      <c r="O40">
        <f t="shared" si="7"/>
        <v>-2.8779515619192146</v>
      </c>
      <c r="P40">
        <f t="shared" si="8"/>
        <v>132.1115904705143</v>
      </c>
      <c r="Q40">
        <f t="shared" si="9"/>
        <v>1.4535841073707514</v>
      </c>
    </row>
    <row r="41" spans="1:17">
      <c r="A41">
        <v>10096.471541000001</v>
      </c>
      <c r="B41">
        <v>-3746071.9235893702</v>
      </c>
      <c r="C41">
        <v>0.122741834939584</v>
      </c>
      <c r="D41">
        <v>-3818686.9035148099</v>
      </c>
      <c r="E41">
        <v>-0.84869197944314501</v>
      </c>
      <c r="F41">
        <v>1264361.33387952</v>
      </c>
      <c r="G41">
        <v>0.53781362700947299</v>
      </c>
      <c r="H41">
        <v>1252078.6012798301</v>
      </c>
      <c r="I41">
        <v>-0.50041794743924495</v>
      </c>
      <c r="J41" t="str">
        <f t="shared" si="2"/>
        <v>-3746071.92358937+1264361.33387952i</v>
      </c>
      <c r="K41" t="str">
        <f t="shared" si="3"/>
        <v>0.122741834939584+0.537813627009473i</v>
      </c>
      <c r="L41" t="str">
        <f t="shared" si="4"/>
        <v>-3818686.90351481+1252078.60127983i</v>
      </c>
      <c r="M41" t="str">
        <f t="shared" si="5"/>
        <v>-0.848691979443145-0.500417947439245i</v>
      </c>
      <c r="N41">
        <f t="shared" si="6"/>
        <v>131.94005223593328</v>
      </c>
      <c r="O41">
        <f t="shared" si="7"/>
        <v>-5.1668512398187314</v>
      </c>
      <c r="P41">
        <f t="shared" si="8"/>
        <v>132.08174422253748</v>
      </c>
      <c r="Q41">
        <f t="shared" si="9"/>
        <v>-0.12916671366483026</v>
      </c>
    </row>
    <row r="42" spans="1:17">
      <c r="A42">
        <v>12710.556156000001</v>
      </c>
      <c r="B42">
        <v>3012548.1730640801</v>
      </c>
      <c r="C42">
        <v>0.47051175487064001</v>
      </c>
      <c r="D42">
        <v>3091362.0075580399</v>
      </c>
      <c r="E42">
        <v>0.20941753705265301</v>
      </c>
      <c r="F42">
        <v>-2526062.1399666602</v>
      </c>
      <c r="G42">
        <v>0.14188606379718899</v>
      </c>
      <c r="H42">
        <v>-2545889.2043239502</v>
      </c>
      <c r="I42">
        <v>-0.51200304394963303</v>
      </c>
      <c r="J42" t="str">
        <f t="shared" si="2"/>
        <v>3012548.17306408-2526062.13996666i</v>
      </c>
      <c r="K42" t="str">
        <f t="shared" si="3"/>
        <v>0.47051175487064+0.141886063797189i</v>
      </c>
      <c r="L42" t="str">
        <f t="shared" si="4"/>
        <v>3091362.00755804-2545889.20432395i</v>
      </c>
      <c r="M42" t="str">
        <f t="shared" si="5"/>
        <v>0.209417537052653-0.512003043949633i</v>
      </c>
      <c r="N42">
        <f t="shared" si="6"/>
        <v>131.8910937204158</v>
      </c>
      <c r="O42">
        <f t="shared" si="7"/>
        <v>-6.1705954748308347</v>
      </c>
      <c r="P42">
        <f t="shared" si="8"/>
        <v>132.05152129110371</v>
      </c>
      <c r="Q42">
        <f t="shared" si="9"/>
        <v>-5.1427456860532264</v>
      </c>
    </row>
    <row r="43" spans="1:17">
      <c r="A43">
        <v>16000.960204000001</v>
      </c>
      <c r="B43">
        <v>-3895949.8089340702</v>
      </c>
      <c r="C43">
        <v>-0.67369047168430995</v>
      </c>
      <c r="D43">
        <v>-3975573.8313750499</v>
      </c>
      <c r="E43">
        <v>-1.09573740772272</v>
      </c>
      <c r="F43">
        <v>-192996.56063721501</v>
      </c>
      <c r="G43">
        <v>-0.41309359880638102</v>
      </c>
      <c r="H43">
        <v>-230959.32110461101</v>
      </c>
      <c r="I43">
        <v>3.12364950115364E-2</v>
      </c>
      <c r="J43" t="str">
        <f t="shared" si="2"/>
        <v>-3895949.80893407-192996.560637215i</v>
      </c>
      <c r="K43" t="str">
        <f t="shared" si="3"/>
        <v>-0.67369047168431-0.413093598806381i</v>
      </c>
      <c r="L43" t="str">
        <f t="shared" si="4"/>
        <v>-3975573.83137505-230959.321104611i</v>
      </c>
      <c r="M43" t="str">
        <f t="shared" si="5"/>
        <v>-1.09573740772272+0.0312364950115364i</v>
      </c>
      <c r="N43">
        <f t="shared" si="6"/>
        <v>131.82291154459421</v>
      </c>
      <c r="O43">
        <f t="shared" si="7"/>
        <v>-2.0446395984915506</v>
      </c>
      <c r="P43">
        <f t="shared" si="8"/>
        <v>132.00262914313959</v>
      </c>
      <c r="Q43">
        <f t="shared" si="9"/>
        <v>0.79765769477555637</v>
      </c>
    </row>
    <row r="44" spans="1:17">
      <c r="A44">
        <v>16.001450999999999</v>
      </c>
      <c r="B44">
        <v>-4808386.8682141798</v>
      </c>
      <c r="C44">
        <v>-14.6431954189683</v>
      </c>
      <c r="D44">
        <v>-4843137.5225310102</v>
      </c>
      <c r="E44">
        <v>-12.6703854058908</v>
      </c>
      <c r="F44">
        <v>659483.52270335704</v>
      </c>
      <c r="G44">
        <v>-155.88882565032</v>
      </c>
      <c r="H44">
        <v>599168.60113158403</v>
      </c>
      <c r="I44">
        <v>127.07258081907599</v>
      </c>
      <c r="J44" t="str">
        <f t="shared" si="2"/>
        <v>-4808386.86821418+659483.522703357i</v>
      </c>
      <c r="K44" t="str">
        <f t="shared" si="3"/>
        <v>-14.6431954189683-155.88882565032i</v>
      </c>
      <c r="L44" t="str">
        <f t="shared" si="4"/>
        <v>-4843137.52253101+599168.601131584i</v>
      </c>
      <c r="M44" t="str">
        <f t="shared" si="5"/>
        <v>-12.6703854058908+127.072580819076i</v>
      </c>
      <c r="N44">
        <f t="shared" si="6"/>
        <v>133.72092378669078</v>
      </c>
      <c r="O44">
        <f t="shared" si="7"/>
        <v>43.894451686448768</v>
      </c>
      <c r="P44">
        <f t="shared" si="8"/>
        <v>133.76850295431515</v>
      </c>
      <c r="Q44">
        <f t="shared" si="9"/>
        <v>42.124001558466034</v>
      </c>
    </row>
    <row r="45" spans="1:17">
      <c r="A45">
        <v>20.143118000000001</v>
      </c>
      <c r="B45">
        <v>4596629.9987612301</v>
      </c>
      <c r="C45">
        <v>187.304720727811</v>
      </c>
      <c r="D45">
        <v>4607246.1255123802</v>
      </c>
      <c r="E45">
        <v>-216.30513725341001</v>
      </c>
      <c r="F45">
        <v>1691933.32703792</v>
      </c>
      <c r="G45">
        <v>-354.648146422889</v>
      </c>
      <c r="H45">
        <v>1752009.0524152101</v>
      </c>
      <c r="I45">
        <v>364.94964962486802</v>
      </c>
      <c r="J45" t="str">
        <f t="shared" si="2"/>
        <v>4596629.99876123+1691933.32703792i</v>
      </c>
      <c r="K45" t="str">
        <f t="shared" si="3"/>
        <v>187.304720727811-354.648146422889i</v>
      </c>
      <c r="L45" t="str">
        <f t="shared" si="4"/>
        <v>4607246.12551238+1752009.05241521i</v>
      </c>
      <c r="M45" t="str">
        <f t="shared" si="5"/>
        <v>-216.30513725341+364.949649624868i</v>
      </c>
      <c r="N45">
        <f t="shared" si="6"/>
        <v>133.80060039812702</v>
      </c>
      <c r="O45">
        <f t="shared" si="7"/>
        <v>52.064436532775275</v>
      </c>
      <c r="P45">
        <f t="shared" si="8"/>
        <v>133.85539293804624</v>
      </c>
      <c r="Q45">
        <f t="shared" si="9"/>
        <v>52.552149793840364</v>
      </c>
    </row>
    <row r="46" spans="1:17">
      <c r="A46">
        <v>25.362767999999999</v>
      </c>
      <c r="B46">
        <v>-4841075.0209170301</v>
      </c>
      <c r="C46">
        <v>-72.742490742098298</v>
      </c>
      <c r="D46">
        <v>-4866736.4633782404</v>
      </c>
      <c r="E46">
        <v>205.99513259860399</v>
      </c>
      <c r="F46">
        <v>-918421.799876526</v>
      </c>
      <c r="G46">
        <v>173.39963638598999</v>
      </c>
      <c r="H46">
        <v>-965888.533814781</v>
      </c>
      <c r="I46">
        <v>169.003390522713</v>
      </c>
      <c r="J46" t="str">
        <f t="shared" si="2"/>
        <v>-4841075.02091703-918421.799876526i</v>
      </c>
      <c r="K46" t="str">
        <f t="shared" si="3"/>
        <v>-72.7424907420983+173.39963638599i</v>
      </c>
      <c r="L46" t="str">
        <f t="shared" si="4"/>
        <v>-4866736.46337824-965888.533814781i</v>
      </c>
      <c r="M46" t="str">
        <f t="shared" si="5"/>
        <v>205.995132598604+169.003390522713i</v>
      </c>
      <c r="N46">
        <f t="shared" si="6"/>
        <v>133.85239845469411</v>
      </c>
      <c r="O46">
        <f t="shared" si="7"/>
        <v>45.48498793226436</v>
      </c>
      <c r="P46">
        <f t="shared" si="8"/>
        <v>133.91253904575581</v>
      </c>
      <c r="Q46">
        <f t="shared" si="9"/>
        <v>48.512347411903448</v>
      </c>
    </row>
    <row r="47" spans="1:17">
      <c r="A47">
        <v>31.929302</v>
      </c>
      <c r="B47">
        <v>3438280.4626560002</v>
      </c>
      <c r="C47">
        <v>-1072.00935350392</v>
      </c>
      <c r="D47">
        <v>3486225.2313924902</v>
      </c>
      <c r="E47">
        <v>794.79551689817902</v>
      </c>
      <c r="F47">
        <v>-3555332.2709366502</v>
      </c>
      <c r="G47">
        <v>-1237.9445780338201</v>
      </c>
      <c r="H47">
        <v>-3557885.7155752298</v>
      </c>
      <c r="I47">
        <v>854.51840143988102</v>
      </c>
      <c r="J47" t="str">
        <f t="shared" si="2"/>
        <v>3438280.462656-3555332.27093665i</v>
      </c>
      <c r="K47" t="str">
        <f t="shared" si="3"/>
        <v>-1072.00935350392-1237.94457803382i</v>
      </c>
      <c r="L47" t="str">
        <f t="shared" si="4"/>
        <v>3486225.23139249-3557885.71557523i</v>
      </c>
      <c r="M47" t="str">
        <f t="shared" si="5"/>
        <v>794.795516898179+854.518401439881i</v>
      </c>
      <c r="N47">
        <f t="shared" si="6"/>
        <v>133.8849480415704</v>
      </c>
      <c r="O47">
        <f t="shared" si="7"/>
        <v>64.284119462544581</v>
      </c>
      <c r="P47">
        <f t="shared" si="8"/>
        <v>133.94667323296349</v>
      </c>
      <c r="Q47">
        <f t="shared" si="9"/>
        <v>61.341457339542991</v>
      </c>
    </row>
    <row r="48" spans="1:17">
      <c r="A48">
        <v>40.195312000000001</v>
      </c>
      <c r="B48">
        <v>4731062.4892712496</v>
      </c>
      <c r="C48">
        <v>-620.93507760153705</v>
      </c>
      <c r="D48">
        <v>4757715.7083967701</v>
      </c>
      <c r="E48">
        <v>176.907762955923</v>
      </c>
      <c r="F48">
        <v>1482831.69744177</v>
      </c>
      <c r="G48">
        <v>-248.52010301531001</v>
      </c>
      <c r="H48">
        <v>1518331.2235909</v>
      </c>
      <c r="I48">
        <v>-191.910160878846</v>
      </c>
      <c r="J48" t="str">
        <f t="shared" si="2"/>
        <v>4731062.48927125+1482831.69744177i</v>
      </c>
      <c r="K48" t="str">
        <f t="shared" si="3"/>
        <v>-620.935077601537-248.52010301531i</v>
      </c>
      <c r="L48" t="str">
        <f t="shared" si="4"/>
        <v>4757715.70839677+1518331.2235909i</v>
      </c>
      <c r="M48" t="str">
        <f t="shared" si="5"/>
        <v>176.907762955923-191.910160878846i</v>
      </c>
      <c r="N48">
        <f t="shared" si="6"/>
        <v>133.90612658307731</v>
      </c>
      <c r="O48">
        <f t="shared" si="7"/>
        <v>56.506208523531491</v>
      </c>
      <c r="P48">
        <f t="shared" si="8"/>
        <v>133.96917144095468</v>
      </c>
      <c r="Q48">
        <f t="shared" si="9"/>
        <v>48.333120387907996</v>
      </c>
    </row>
    <row r="49" spans="1:17">
      <c r="A49">
        <v>50.597405000000002</v>
      </c>
      <c r="B49">
        <v>4946238.1449928302</v>
      </c>
      <c r="C49">
        <v>-462.85224909704402</v>
      </c>
      <c r="D49">
        <v>4981757.3920929404</v>
      </c>
      <c r="E49">
        <v>-208.10819892636101</v>
      </c>
      <c r="F49">
        <v>446849.72250300099</v>
      </c>
      <c r="G49">
        <v>174.917183620619</v>
      </c>
      <c r="H49">
        <v>469135.59713675798</v>
      </c>
      <c r="I49">
        <v>1143.74429137623</v>
      </c>
      <c r="J49" t="str">
        <f t="shared" si="2"/>
        <v>4946238.14499283+446849.722503001i</v>
      </c>
      <c r="K49" t="str">
        <f t="shared" si="3"/>
        <v>-462.852249097044+174.917183620619i</v>
      </c>
      <c r="L49" t="str">
        <f t="shared" si="4"/>
        <v>4981757.39209294+469135.597136758i</v>
      </c>
      <c r="M49" t="str">
        <f t="shared" si="5"/>
        <v>-208.108198926361+1143.74429137623i</v>
      </c>
      <c r="N49">
        <f t="shared" si="6"/>
        <v>133.92080177105777</v>
      </c>
      <c r="O49">
        <f t="shared" si="7"/>
        <v>53.88861485059963</v>
      </c>
      <c r="P49">
        <f t="shared" si="8"/>
        <v>133.98599547018338</v>
      </c>
      <c r="Q49">
        <f t="shared" si="9"/>
        <v>61.308032046627694</v>
      </c>
    </row>
    <row r="50" spans="1:17">
      <c r="A50">
        <v>63.69847</v>
      </c>
      <c r="B50">
        <v>-1104687.2353268601</v>
      </c>
      <c r="C50">
        <v>6.3284396468886097</v>
      </c>
      <c r="D50">
        <v>-1096848.4529275401</v>
      </c>
      <c r="E50">
        <v>-73.072191466451301</v>
      </c>
      <c r="F50">
        <v>-4847650.3268649699</v>
      </c>
      <c r="G50">
        <v>59.9092556731717</v>
      </c>
      <c r="H50">
        <v>-4886517.7217533896</v>
      </c>
      <c r="I50">
        <v>-62.116711173822402</v>
      </c>
      <c r="J50" t="str">
        <f t="shared" si="2"/>
        <v>-1104687.23532686-4847650.32686497i</v>
      </c>
      <c r="K50" t="str">
        <f t="shared" si="3"/>
        <v>6.32843964688861+59.9092556731717i</v>
      </c>
      <c r="L50" t="str">
        <f t="shared" si="4"/>
        <v>-1096848.45292754-4886517.72175339i</v>
      </c>
      <c r="M50" t="str">
        <f t="shared" si="5"/>
        <v>-73.0721914664513-62.1167111738224i</v>
      </c>
      <c r="N50">
        <f t="shared" si="6"/>
        <v>133.93049302317746</v>
      </c>
      <c r="O50">
        <f t="shared" si="7"/>
        <v>35.598070804733048</v>
      </c>
      <c r="P50">
        <f t="shared" si="8"/>
        <v>133.99347133388238</v>
      </c>
      <c r="Q50">
        <f t="shared" si="9"/>
        <v>39.636948676512489</v>
      </c>
    </row>
    <row r="51" spans="1:17">
      <c r="A51">
        <v>80.201261000000002</v>
      </c>
      <c r="B51">
        <v>4380289.9803756</v>
      </c>
      <c r="C51">
        <v>-18.538802343600999</v>
      </c>
      <c r="D51">
        <v>4405275.1886239797</v>
      </c>
      <c r="E51">
        <v>-53.394120486274197</v>
      </c>
      <c r="F51">
        <v>2360619.5076678898</v>
      </c>
      <c r="G51">
        <v>16.075419347594</v>
      </c>
      <c r="H51">
        <v>2389438.0300872801</v>
      </c>
      <c r="I51">
        <v>-24.695185011547501</v>
      </c>
      <c r="J51" t="str">
        <f t="shared" si="2"/>
        <v>4380289.9803756+2360619.50766789i</v>
      </c>
      <c r="K51" t="str">
        <f t="shared" si="3"/>
        <v>-18.538802343601+16.075419347594i</v>
      </c>
      <c r="L51" t="str">
        <f t="shared" si="4"/>
        <v>4405275.18862398+2389438.03008728i</v>
      </c>
      <c r="M51" t="str">
        <f t="shared" si="5"/>
        <v>-53.3941204862742-24.6951850115475i</v>
      </c>
      <c r="N51">
        <f t="shared" si="6"/>
        <v>133.93741252262078</v>
      </c>
      <c r="O51">
        <f t="shared" si="7"/>
        <v>27.796731710361755</v>
      </c>
      <c r="P51">
        <f t="shared" si="8"/>
        <v>133.99948115590479</v>
      </c>
      <c r="Q51">
        <f t="shared" si="9"/>
        <v>35.391745275436257</v>
      </c>
    </row>
    <row r="52" spans="1:17">
      <c r="A52">
        <v>100.96802700000001</v>
      </c>
      <c r="B52">
        <v>4931402.7988543101</v>
      </c>
      <c r="C52">
        <v>-237.14245093708499</v>
      </c>
      <c r="D52">
        <v>4965108.4775304599</v>
      </c>
      <c r="E52">
        <v>105.308404105549</v>
      </c>
      <c r="F52">
        <v>681289.40872042999</v>
      </c>
      <c r="G52">
        <v>211.97947309750799</v>
      </c>
      <c r="H52">
        <v>697313.93767468305</v>
      </c>
      <c r="I52">
        <v>-224.09425350266901</v>
      </c>
      <c r="J52" t="str">
        <f t="shared" si="2"/>
        <v>4931402.79885431+681289.40872043i</v>
      </c>
      <c r="K52" t="str">
        <f t="shared" si="3"/>
        <v>-237.142450937085+211.979473097508i</v>
      </c>
      <c r="L52" t="str">
        <f t="shared" si="4"/>
        <v>4965108.47753046+697313.937674683i</v>
      </c>
      <c r="M52" t="str">
        <f t="shared" si="5"/>
        <v>105.308404105549-224.094253502669i</v>
      </c>
      <c r="N52">
        <f t="shared" si="6"/>
        <v>133.94151928624242</v>
      </c>
      <c r="O52">
        <f t="shared" si="7"/>
        <v>50.050596444538655</v>
      </c>
      <c r="P52">
        <f t="shared" si="8"/>
        <v>134.00340205185597</v>
      </c>
      <c r="Q52">
        <f t="shared" si="9"/>
        <v>47.875178176410287</v>
      </c>
    </row>
    <row r="53" spans="1:17">
      <c r="A53">
        <v>127.10439</v>
      </c>
      <c r="B53">
        <v>-4562752.0187821398</v>
      </c>
      <c r="C53">
        <v>-0.40719170720235198</v>
      </c>
      <c r="D53">
        <v>-4599411.8044273704</v>
      </c>
      <c r="E53">
        <v>14.3968345106955</v>
      </c>
      <c r="F53">
        <v>1996304.5093450099</v>
      </c>
      <c r="G53">
        <v>12.762481158470401</v>
      </c>
      <c r="H53">
        <v>2000937.91730052</v>
      </c>
      <c r="I53">
        <v>-9.81820778796944</v>
      </c>
      <c r="J53" t="str">
        <f t="shared" si="2"/>
        <v>-4562752.01878214+1996304.50934501i</v>
      </c>
      <c r="K53" t="str">
        <f t="shared" si="3"/>
        <v>-0.407191707202352+12.7624811584704i</v>
      </c>
      <c r="L53" t="str">
        <f t="shared" si="4"/>
        <v>-4599411.80442737+2000937.91730052i</v>
      </c>
      <c r="M53" t="str">
        <f t="shared" si="5"/>
        <v>14.3968345106955-9.81820778796944i</v>
      </c>
      <c r="N53">
        <f t="shared" si="6"/>
        <v>133.94520631490826</v>
      </c>
      <c r="O53">
        <f t="shared" si="7"/>
        <v>22.123120942762654</v>
      </c>
      <c r="P53">
        <f t="shared" si="8"/>
        <v>134.00682007876119</v>
      </c>
      <c r="Q53">
        <f t="shared" si="9"/>
        <v>24.823962375923298</v>
      </c>
    </row>
    <row r="54" spans="1:17">
      <c r="A54">
        <v>160.00702200000001</v>
      </c>
      <c r="B54">
        <v>2178879.9802241498</v>
      </c>
      <c r="C54">
        <v>23.393666430391001</v>
      </c>
      <c r="D54">
        <v>2185576.7964832499</v>
      </c>
      <c r="E54">
        <v>9.2137226102463092</v>
      </c>
      <c r="F54">
        <v>4480034.5617418196</v>
      </c>
      <c r="G54">
        <v>-1.8232880473992901</v>
      </c>
      <c r="H54">
        <v>4516209.2762201102</v>
      </c>
      <c r="I54">
        <v>8.9219663053110096</v>
      </c>
      <c r="J54" t="str">
        <f t="shared" si="2"/>
        <v>2178879.98022415+4480034.56174182i</v>
      </c>
      <c r="K54" t="str">
        <f t="shared" si="3"/>
        <v>23.393666430391-1.82328804739929i</v>
      </c>
      <c r="L54" t="str">
        <f t="shared" si="4"/>
        <v>2185576.79648325+4516209.27622011i</v>
      </c>
      <c r="M54" t="str">
        <f t="shared" si="5"/>
        <v>9.21372261024631+8.92196630531101i</v>
      </c>
      <c r="N54">
        <f t="shared" si="6"/>
        <v>133.94770763765749</v>
      </c>
      <c r="O54">
        <f t="shared" si="7"/>
        <v>27.408267483582371</v>
      </c>
      <c r="P54">
        <f t="shared" si="8"/>
        <v>134.00933115307845</v>
      </c>
      <c r="Q54">
        <f t="shared" si="9"/>
        <v>22.161505026214687</v>
      </c>
    </row>
    <row r="55" spans="1:17">
      <c r="A55">
        <v>201.45634899999999</v>
      </c>
      <c r="B55">
        <v>4419404.6340606296</v>
      </c>
      <c r="C55">
        <v>-9.1546164832009307</v>
      </c>
      <c r="D55">
        <v>4446603.6592903603</v>
      </c>
      <c r="E55">
        <v>18.316174152525999</v>
      </c>
      <c r="F55">
        <v>2301644.8140187101</v>
      </c>
      <c r="G55">
        <v>-26.976229927046599</v>
      </c>
      <c r="H55">
        <v>2326705.7857620101</v>
      </c>
      <c r="I55">
        <v>-26.252913962916899</v>
      </c>
      <c r="J55" t="str">
        <f t="shared" si="2"/>
        <v>4419404.63406063+2301644.81401871i</v>
      </c>
      <c r="K55" t="str">
        <f t="shared" si="3"/>
        <v>-9.15461648320093-26.9762299270466i</v>
      </c>
      <c r="L55" t="str">
        <f t="shared" si="4"/>
        <v>4446603.65929036+2326705.78576201i</v>
      </c>
      <c r="M55" t="str">
        <f t="shared" si="5"/>
        <v>18.316174152526-26.2529139629169i</v>
      </c>
      <c r="N55">
        <f t="shared" si="6"/>
        <v>133.94954088942157</v>
      </c>
      <c r="O55">
        <f t="shared" si="7"/>
        <v>29.093013596256633</v>
      </c>
      <c r="P55">
        <f t="shared" si="8"/>
        <v>134.01156507588306</v>
      </c>
      <c r="Q55">
        <f t="shared" si="9"/>
        <v>30.105957729040924</v>
      </c>
    </row>
    <row r="56" spans="1:17">
      <c r="A56">
        <v>253.58521099999999</v>
      </c>
      <c r="B56">
        <v>4347168.2681744602</v>
      </c>
      <c r="C56">
        <v>12.020479594663399</v>
      </c>
      <c r="D56">
        <v>4383480.5017760098</v>
      </c>
      <c r="E56">
        <v>-36.542796303325503</v>
      </c>
      <c r="F56">
        <v>-2436001.5377083998</v>
      </c>
      <c r="G56">
        <v>-12.480433634171</v>
      </c>
      <c r="H56">
        <v>-2445065.5920459302</v>
      </c>
      <c r="I56">
        <v>32.935409630722702</v>
      </c>
      <c r="J56" t="str">
        <f t="shared" si="2"/>
        <v>4347168.26817446-2436001.5377084i</v>
      </c>
      <c r="K56" t="str">
        <f t="shared" si="3"/>
        <v>12.0204795946634-12.480433634171i</v>
      </c>
      <c r="L56" t="str">
        <f t="shared" si="4"/>
        <v>4383480.50177601-2445065.59204593i</v>
      </c>
      <c r="M56" t="str">
        <f t="shared" si="5"/>
        <v>-36.5427963033255+32.9354096307227i</v>
      </c>
      <c r="N56">
        <f t="shared" si="6"/>
        <v>133.95011270102415</v>
      </c>
      <c r="O56">
        <f t="shared" si="7"/>
        <v>24.77487577238972</v>
      </c>
      <c r="P56">
        <f t="shared" si="8"/>
        <v>134.01284145618953</v>
      </c>
      <c r="Q56">
        <f t="shared" si="9"/>
        <v>33.838363927198728</v>
      </c>
    </row>
    <row r="57" spans="1:17">
      <c r="A57">
        <v>319.290075</v>
      </c>
      <c r="B57">
        <v>-4340096.2555679698</v>
      </c>
      <c r="C57">
        <v>17.607530227588999</v>
      </c>
      <c r="D57">
        <v>-4377155.7444042796</v>
      </c>
      <c r="E57">
        <v>20.258650501101599</v>
      </c>
      <c r="F57">
        <v>2448368.0233097998</v>
      </c>
      <c r="G57">
        <v>-12.318377602921901</v>
      </c>
      <c r="H57">
        <v>2457186.3244357202</v>
      </c>
      <c r="I57">
        <v>6.95562323188887</v>
      </c>
      <c r="J57" t="str">
        <f t="shared" si="2"/>
        <v>-4340096.25556797+2448368.0233098i</v>
      </c>
      <c r="K57" t="str">
        <f t="shared" si="3"/>
        <v>17.607530227589-12.3183776029219i</v>
      </c>
      <c r="L57" t="str">
        <f t="shared" si="4"/>
        <v>-4377155.74440428+2457186.32443572i</v>
      </c>
      <c r="M57" t="str">
        <f t="shared" si="5"/>
        <v>20.2586505011016+6.95562323188887i</v>
      </c>
      <c r="N57">
        <f t="shared" si="6"/>
        <v>133.94993186492084</v>
      </c>
      <c r="O57">
        <f t="shared" si="7"/>
        <v>26.644234079141455</v>
      </c>
      <c r="P57">
        <f t="shared" si="8"/>
        <v>134.01353266353217</v>
      </c>
      <c r="Q57">
        <f t="shared" si="9"/>
        <v>26.616173649114906</v>
      </c>
    </row>
    <row r="58" spans="1:17">
      <c r="A58">
        <v>401.94414</v>
      </c>
      <c r="B58">
        <v>270897.46960347699</v>
      </c>
      <c r="C58">
        <v>9.2474045506810807</v>
      </c>
      <c r="D58">
        <v>261288.03987217601</v>
      </c>
      <c r="E58">
        <v>-13.701073955023499</v>
      </c>
      <c r="F58">
        <v>4975335.1961731697</v>
      </c>
      <c r="G58">
        <v>5.4044204504708002</v>
      </c>
      <c r="H58">
        <v>5013053.8516351702</v>
      </c>
      <c r="I58">
        <v>8.9621205617951905</v>
      </c>
      <c r="J58" t="str">
        <f t="shared" si="2"/>
        <v>270897.469603477+4975335.19617317i</v>
      </c>
      <c r="K58" t="str">
        <f t="shared" si="3"/>
        <v>9.24740455068108+5.4044204504708i</v>
      </c>
      <c r="L58" t="str">
        <f t="shared" si="4"/>
        <v>261288.039872176+5013053.85163517i</v>
      </c>
      <c r="M58" t="str">
        <f t="shared" si="5"/>
        <v>-13.7010739550235+8.96212056179519i</v>
      </c>
      <c r="N58">
        <f t="shared" si="6"/>
        <v>133.94930292397751</v>
      </c>
      <c r="O58">
        <f t="shared" si="7"/>
        <v>20.596476610778403</v>
      </c>
      <c r="P58">
        <f t="shared" si="8"/>
        <v>134.01382968029836</v>
      </c>
      <c r="Q58">
        <f t="shared" si="9"/>
        <v>24.28198041635509</v>
      </c>
    </row>
    <row r="59" spans="1:17">
      <c r="A59">
        <v>506.01529900000003</v>
      </c>
      <c r="B59">
        <v>4697168.6508561298</v>
      </c>
      <c r="C59">
        <v>-12.5962956843898</v>
      </c>
      <c r="D59">
        <v>4737724.4075764604</v>
      </c>
      <c r="E59">
        <v>3.98041583529155</v>
      </c>
      <c r="F59">
        <v>-1657681.7283176</v>
      </c>
      <c r="G59">
        <v>-0.82266854602597606</v>
      </c>
      <c r="H59">
        <v>-1657996.3735141</v>
      </c>
      <c r="I59">
        <v>-12.885169502139499</v>
      </c>
      <c r="J59" t="str">
        <f t="shared" si="2"/>
        <v>4697168.65085613-1657681.7283176i</v>
      </c>
      <c r="K59" t="str">
        <f t="shared" si="3"/>
        <v>-12.5962956843898-0.822668546025976i</v>
      </c>
      <c r="L59" t="str">
        <f t="shared" si="4"/>
        <v>4737724.40757646-1657996.3735141i</v>
      </c>
      <c r="M59" t="str">
        <f t="shared" si="5"/>
        <v>3.98041583529155-12.8851695021395i</v>
      </c>
      <c r="N59">
        <f t="shared" si="6"/>
        <v>133.9464955576687</v>
      </c>
      <c r="O59">
        <f t="shared" si="7"/>
        <v>22.023342119168568</v>
      </c>
      <c r="P59">
        <f t="shared" si="8"/>
        <v>134.01314096146274</v>
      </c>
      <c r="Q59">
        <f t="shared" si="9"/>
        <v>22.597641790379697</v>
      </c>
    </row>
    <row r="60" spans="1:17">
      <c r="A60">
        <v>636.97722999999996</v>
      </c>
      <c r="B60">
        <v>4971083.15309342</v>
      </c>
      <c r="C60">
        <v>4.6959670527712403</v>
      </c>
      <c r="D60">
        <v>5011218.0611473797</v>
      </c>
      <c r="E60">
        <v>16.671400916554099</v>
      </c>
      <c r="F60">
        <v>-287345.34503591899</v>
      </c>
      <c r="G60">
        <v>-3.0568757200598098</v>
      </c>
      <c r="H60">
        <v>-274540.68304585299</v>
      </c>
      <c r="I60">
        <v>-4.8320361460872796</v>
      </c>
      <c r="J60" t="str">
        <f t="shared" si="2"/>
        <v>4971083.15309342-287345.345035919i</v>
      </c>
      <c r="K60" t="str">
        <f t="shared" si="3"/>
        <v>4.69596705277124-3.05687572005981i</v>
      </c>
      <c r="L60" t="str">
        <f t="shared" si="4"/>
        <v>5011218.06114738-274540.683045853i</v>
      </c>
      <c r="M60" t="str">
        <f t="shared" si="5"/>
        <v>16.6714009165541-4.83203614608728i</v>
      </c>
      <c r="N60">
        <f t="shared" si="6"/>
        <v>133.94350714226081</v>
      </c>
      <c r="O60">
        <f t="shared" si="7"/>
        <v>14.968825609256907</v>
      </c>
      <c r="P60">
        <f t="shared" si="8"/>
        <v>134.01188150616417</v>
      </c>
      <c r="Q60">
        <f t="shared" si="9"/>
        <v>24.789763307407611</v>
      </c>
    </row>
    <row r="61" spans="1:17">
      <c r="A61">
        <v>801.91144499999996</v>
      </c>
      <c r="B61">
        <v>-2249923.4171289098</v>
      </c>
      <c r="C61">
        <v>-11.0425116806517</v>
      </c>
      <c r="D61">
        <v>-2252854.3078061799</v>
      </c>
      <c r="E61">
        <v>-6.8129440676396298</v>
      </c>
      <c r="F61">
        <v>-4438401.7876845496</v>
      </c>
      <c r="G61">
        <v>-11.8553053199405</v>
      </c>
      <c r="H61">
        <v>-4483021.5272461697</v>
      </c>
      <c r="I61">
        <v>-9.64183090001222</v>
      </c>
      <c r="J61" t="str">
        <f t="shared" si="2"/>
        <v>-2249923.41712891-4438401.78768455i</v>
      </c>
      <c r="K61" t="str">
        <f t="shared" si="3"/>
        <v>-11.0425116806517-11.8553053199405i</v>
      </c>
      <c r="L61" t="str">
        <f t="shared" si="4"/>
        <v>-2252854.30780618-4483021.52724617i</v>
      </c>
      <c r="M61" t="str">
        <f t="shared" si="5"/>
        <v>-6.81294406763963-9.64183090001222i</v>
      </c>
      <c r="N61">
        <f t="shared" si="6"/>
        <v>133.93778104077967</v>
      </c>
      <c r="O61">
        <f t="shared" si="7"/>
        <v>24.191050336358153</v>
      </c>
      <c r="P61">
        <f t="shared" si="8"/>
        <v>134.00932121323282</v>
      </c>
      <c r="Q61">
        <f t="shared" si="9"/>
        <v>21.442039187383596</v>
      </c>
    </row>
    <row r="62" spans="1:17">
      <c r="A62">
        <v>1009.546788</v>
      </c>
      <c r="B62">
        <v>3258289.7847722298</v>
      </c>
      <c r="C62">
        <v>6.9187433063411197</v>
      </c>
      <c r="D62">
        <v>3271300.6817057198</v>
      </c>
      <c r="E62">
        <v>-7.2432678119973604</v>
      </c>
      <c r="F62">
        <v>3757123.7802011198</v>
      </c>
      <c r="G62">
        <v>-5.33098819995912</v>
      </c>
      <c r="H62">
        <v>3802830.2356775999</v>
      </c>
      <c r="I62">
        <v>3.5990727855535098</v>
      </c>
      <c r="J62" t="str">
        <f t="shared" si="2"/>
        <v>3258289.78477223+3757123.78020112i</v>
      </c>
      <c r="K62" t="str">
        <f t="shared" si="3"/>
        <v>6.91874330634112-5.33098819995912i</v>
      </c>
      <c r="L62" t="str">
        <f t="shared" si="4"/>
        <v>3271300.68170572+3802830.2356776i</v>
      </c>
      <c r="M62" t="str">
        <f t="shared" si="5"/>
        <v>-7.24326781199736+3.59907278555351i</v>
      </c>
      <c r="N62">
        <f t="shared" si="6"/>
        <v>133.9326681352866</v>
      </c>
      <c r="O62">
        <f t="shared" si="7"/>
        <v>18.824587577202962</v>
      </c>
      <c r="P62">
        <f t="shared" si="8"/>
        <v>134.00761139583767</v>
      </c>
      <c r="Q62">
        <f t="shared" si="9"/>
        <v>18.156989454720375</v>
      </c>
    </row>
    <row r="63" spans="1:17">
      <c r="A63">
        <v>1271.06546</v>
      </c>
      <c r="B63">
        <v>-558125.88914529502</v>
      </c>
      <c r="C63">
        <v>7.3168373697472502</v>
      </c>
      <c r="D63">
        <v>-586458.15408770903</v>
      </c>
      <c r="E63">
        <v>4.2133216966534102</v>
      </c>
      <c r="F63">
        <v>4937380.9110623701</v>
      </c>
      <c r="G63">
        <v>5.2042367247299799</v>
      </c>
      <c r="H63">
        <v>4980204.7463085102</v>
      </c>
      <c r="I63">
        <v>-4.0380318365422996</v>
      </c>
      <c r="J63" t="str">
        <f t="shared" si="2"/>
        <v>-558125.889145295+4937380.91106237i</v>
      </c>
      <c r="K63" t="str">
        <f t="shared" si="3"/>
        <v>7.31683736974725+5.20423672472998i</v>
      </c>
      <c r="L63" t="str">
        <f t="shared" si="4"/>
        <v>-586458.154087709+4980204.74630851i</v>
      </c>
      <c r="M63" t="str">
        <f t="shared" si="5"/>
        <v>4.21332169665341-4.0380318365423i</v>
      </c>
      <c r="N63">
        <f t="shared" si="6"/>
        <v>133.92507629392199</v>
      </c>
      <c r="O63">
        <f t="shared" si="7"/>
        <v>19.064438118510079</v>
      </c>
      <c r="P63">
        <f t="shared" si="8"/>
        <v>134.00475344269546</v>
      </c>
      <c r="Q63">
        <f t="shared" si="9"/>
        <v>15.322163463971901</v>
      </c>
    </row>
    <row r="64" spans="1:17">
      <c r="A64">
        <v>1600.019278</v>
      </c>
      <c r="B64">
        <v>-611968.46381623496</v>
      </c>
      <c r="C64">
        <v>2.6968716515309201</v>
      </c>
      <c r="D64">
        <v>-591880.61034090701</v>
      </c>
      <c r="E64">
        <v>-3.8404331779652701</v>
      </c>
      <c r="F64">
        <v>-4924589.1661211802</v>
      </c>
      <c r="G64">
        <v>4.6149243042957702</v>
      </c>
      <c r="H64">
        <v>-4976747.84648945</v>
      </c>
      <c r="I64">
        <v>-0.29088130906620402</v>
      </c>
      <c r="J64" t="str">
        <f t="shared" si="2"/>
        <v>-611968.463816235-4924589.16612118i</v>
      </c>
      <c r="K64" t="str">
        <f t="shared" si="3"/>
        <v>2.69687165153092+4.61492430429577i</v>
      </c>
      <c r="L64" t="str">
        <f t="shared" si="4"/>
        <v>-591880.610340907-4976747.84648945i</v>
      </c>
      <c r="M64" t="str">
        <f t="shared" si="5"/>
        <v>-3.84043317796527-0.290881309066204i</v>
      </c>
      <c r="N64">
        <f t="shared" si="6"/>
        <v>133.91395353980909</v>
      </c>
      <c r="O64">
        <f t="shared" si="7"/>
        <v>14.559200151548177</v>
      </c>
      <c r="P64">
        <f t="shared" si="8"/>
        <v>133.99990965573119</v>
      </c>
      <c r="Q64">
        <f t="shared" si="9"/>
        <v>11.712447757474006</v>
      </c>
    </row>
    <row r="65" spans="1:21">
      <c r="A65">
        <v>2014.3138919999999</v>
      </c>
      <c r="B65">
        <v>106623.530146484</v>
      </c>
      <c r="C65">
        <v>3.8273745248835001</v>
      </c>
      <c r="D65">
        <v>137072.18648127801</v>
      </c>
      <c r="E65">
        <v>4.3163546718459003</v>
      </c>
      <c r="F65">
        <v>-4953130.2709568599</v>
      </c>
      <c r="G65">
        <v>-3.4252621544268398</v>
      </c>
      <c r="H65">
        <v>-5006020.553607</v>
      </c>
      <c r="I65">
        <v>-2.6501119051264301</v>
      </c>
      <c r="J65" t="str">
        <f t="shared" si="2"/>
        <v>106623.530146484-4953130.27095686i</v>
      </c>
      <c r="K65" t="str">
        <f t="shared" si="3"/>
        <v>3.8273745248835-3.42526215442684i</v>
      </c>
      <c r="L65" t="str">
        <f t="shared" si="4"/>
        <v>137072.186481278-5006020.553607i</v>
      </c>
      <c r="M65" t="str">
        <f t="shared" si="5"/>
        <v>4.3163546718459-2.65011190512643i</v>
      </c>
      <c r="N65">
        <f t="shared" si="6"/>
        <v>133.89960701877814</v>
      </c>
      <c r="O65">
        <f t="shared" si="7"/>
        <v>14.212948193346012</v>
      </c>
      <c r="P65">
        <f t="shared" si="8"/>
        <v>133.99310744784378</v>
      </c>
      <c r="Q65">
        <f t="shared" si="9"/>
        <v>14.091552726061041</v>
      </c>
    </row>
    <row r="66" spans="1:21">
      <c r="A66">
        <v>2536.1076779999999</v>
      </c>
      <c r="B66">
        <v>2980091.1378442901</v>
      </c>
      <c r="C66">
        <v>4.0770557642360303E-2</v>
      </c>
      <c r="D66">
        <v>2989853.2720024101</v>
      </c>
      <c r="E66">
        <v>-9.2072201285471191</v>
      </c>
      <c r="F66">
        <v>3948167.5536970398</v>
      </c>
      <c r="G66">
        <v>-0.283922644429912</v>
      </c>
      <c r="H66">
        <v>4014089.4130108198</v>
      </c>
      <c r="I66">
        <v>-3.9361202038727101</v>
      </c>
      <c r="J66" t="str">
        <f t="shared" si="2"/>
        <v>2980091.13784429+3948167.55369704i</v>
      </c>
      <c r="K66" t="str">
        <f t="shared" si="3"/>
        <v>0.0407705576423603-0.283922644429912i</v>
      </c>
      <c r="L66" t="str">
        <f t="shared" si="4"/>
        <v>2989853.27200241+4014089.41301082i</v>
      </c>
      <c r="M66" t="str">
        <f t="shared" si="5"/>
        <v>-9.20722012854712-3.93612020387271i</v>
      </c>
      <c r="N66">
        <f t="shared" si="6"/>
        <v>133.88615692427123</v>
      </c>
      <c r="O66">
        <f t="shared" si="7"/>
        <v>-10.847357703162313</v>
      </c>
      <c r="P66">
        <f t="shared" si="8"/>
        <v>133.98844767680168</v>
      </c>
      <c r="Q66">
        <f t="shared" si="9"/>
        <v>20.011534503038963</v>
      </c>
    </row>
    <row r="67" spans="1:21">
      <c r="A67">
        <v>3192.5215979999998</v>
      </c>
      <c r="B67">
        <v>590080.71355564904</v>
      </c>
      <c r="C67">
        <v>-5.9146976043483699</v>
      </c>
      <c r="D67">
        <v>563490.21103471995</v>
      </c>
      <c r="E67">
        <v>4.4872486304203596</v>
      </c>
      <c r="F67">
        <v>4901149.4453070797</v>
      </c>
      <c r="G67">
        <v>0.95920595907652095</v>
      </c>
      <c r="H67">
        <v>4968249.0279999496</v>
      </c>
      <c r="I67">
        <v>5.4012147811329498</v>
      </c>
      <c r="J67" t="str">
        <f t="shared" si="2"/>
        <v>590080.713555649+4901149.44530708i</v>
      </c>
      <c r="K67" t="str">
        <f t="shared" si="3"/>
        <v>-5.91469760434837+0.959205959076521i</v>
      </c>
      <c r="L67" t="str">
        <f t="shared" si="4"/>
        <v>563490.21103472+4968249.02799995i</v>
      </c>
      <c r="M67" t="str">
        <f t="shared" si="5"/>
        <v>4.48724863042036+5.40121478113295i</v>
      </c>
      <c r="N67">
        <f t="shared" si="6"/>
        <v>133.86845926015712</v>
      </c>
      <c r="O67">
        <f t="shared" si="7"/>
        <v>15.55139494590261</v>
      </c>
      <c r="P67">
        <f t="shared" si="8"/>
        <v>133.97957720961853</v>
      </c>
      <c r="Q67">
        <f t="shared" si="9"/>
        <v>16.929219795181204</v>
      </c>
    </row>
    <row r="68" spans="1:21">
      <c r="A68">
        <v>4019.4603149999998</v>
      </c>
      <c r="B68">
        <v>-4736059.8965008501</v>
      </c>
      <c r="C68">
        <v>-5.2445660919554102</v>
      </c>
      <c r="D68">
        <v>-4813529.1134649599</v>
      </c>
      <c r="E68">
        <v>0.231732915690959</v>
      </c>
      <c r="F68">
        <v>1347580.43304574</v>
      </c>
      <c r="G68">
        <v>0.80166001082136595</v>
      </c>
      <c r="H68">
        <v>1331308.3092751</v>
      </c>
      <c r="I68">
        <v>2.6931561791459702</v>
      </c>
      <c r="J68" t="str">
        <f t="shared" si="2"/>
        <v>-4736059.89650085+1347580.43304574i</v>
      </c>
      <c r="K68" t="str">
        <f t="shared" si="3"/>
        <v>-5.24456609195541+0.801660010821366i</v>
      </c>
      <c r="L68" t="str">
        <f t="shared" si="4"/>
        <v>-4813529.11346496+1331308.3092751i</v>
      </c>
      <c r="M68" t="str">
        <f t="shared" si="5"/>
        <v>0.231732915690959+2.69315617914597i</v>
      </c>
      <c r="N68">
        <f t="shared" si="6"/>
        <v>133.84644334608532</v>
      </c>
      <c r="O68">
        <f t="shared" si="7"/>
        <v>14.494495830754399</v>
      </c>
      <c r="P68">
        <f t="shared" si="8"/>
        <v>133.96939011756064</v>
      </c>
      <c r="Q68">
        <f t="shared" si="9"/>
        <v>8.6372664650393496</v>
      </c>
    </row>
    <row r="69" spans="1:21">
      <c r="A69">
        <v>5059.7908310000003</v>
      </c>
      <c r="B69">
        <v>-4257283.60429982</v>
      </c>
      <c r="C69">
        <v>-0.78373678721361595</v>
      </c>
      <c r="D69">
        <v>-4302563.8516813898</v>
      </c>
      <c r="E69">
        <v>-0.39867422297931299</v>
      </c>
      <c r="F69">
        <v>-2444409.4207296101</v>
      </c>
      <c r="G69">
        <v>-0.33927110366857499</v>
      </c>
      <c r="H69">
        <v>-2515544.82530304</v>
      </c>
      <c r="I69">
        <v>-2.7985516156716299</v>
      </c>
      <c r="J69" t="str">
        <f t="shared" si="2"/>
        <v>-4257283.60429982-2444409.42072961i</v>
      </c>
      <c r="K69" t="str">
        <f t="shared" si="3"/>
        <v>-0.783736787213616-0.339271103668575i</v>
      </c>
      <c r="L69" t="str">
        <f t="shared" si="4"/>
        <v>-4302563.85168139-2515544.82530304i</v>
      </c>
      <c r="M69" t="str">
        <f t="shared" si="5"/>
        <v>-0.398674222979313-2.79855161567163i</v>
      </c>
      <c r="N69">
        <f t="shared" si="6"/>
        <v>133.82009854195505</v>
      </c>
      <c r="O69">
        <f t="shared" si="7"/>
        <v>-1.3706506462989365</v>
      </c>
      <c r="P69">
        <f t="shared" si="8"/>
        <v>133.95151966807271</v>
      </c>
      <c r="Q69">
        <f t="shared" si="9"/>
        <v>9.0259201542189853</v>
      </c>
    </row>
    <row r="70" spans="1:21">
      <c r="A70">
        <v>6369.7354210000003</v>
      </c>
      <c r="B70">
        <v>4672646.0613778997</v>
      </c>
      <c r="C70">
        <v>-2.0202980792672101</v>
      </c>
      <c r="D70">
        <v>4739754.9702565996</v>
      </c>
      <c r="E70">
        <v>0.35363389437023401</v>
      </c>
      <c r="F70">
        <v>1437418.11161472</v>
      </c>
      <c r="G70">
        <v>2.50739072276123</v>
      </c>
      <c r="H70">
        <v>1501296.95884182</v>
      </c>
      <c r="I70">
        <v>0.96972850069551597</v>
      </c>
      <c r="J70" t="str">
        <f t="shared" si="2"/>
        <v>4672646.0613779+1437418.11161472i</v>
      </c>
      <c r="K70" t="str">
        <f t="shared" si="3"/>
        <v>-2.02029807926721+2.50739072276123i</v>
      </c>
      <c r="L70" t="str">
        <f t="shared" si="4"/>
        <v>4739754.9702566+1501296.95884182i</v>
      </c>
      <c r="M70" t="str">
        <f t="shared" si="5"/>
        <v>0.353633894370234+0.969728500695516i</v>
      </c>
      <c r="N70">
        <f t="shared" si="6"/>
        <v>133.78394122070145</v>
      </c>
      <c r="O70">
        <f t="shared" si="7"/>
        <v>10.157206469018965</v>
      </c>
      <c r="P70">
        <f t="shared" si="8"/>
        <v>133.93033879652003</v>
      </c>
      <c r="Q70">
        <f t="shared" si="9"/>
        <v>0.27525042113337722</v>
      </c>
    </row>
    <row r="71" spans="1:21">
      <c r="A71">
        <v>8019.2636849999999</v>
      </c>
      <c r="B71">
        <v>4169579.1132930201</v>
      </c>
      <c r="C71">
        <v>-2.2511115180591301</v>
      </c>
      <c r="D71">
        <v>4270085.8126388397</v>
      </c>
      <c r="E71">
        <v>-3.3960273655882198</v>
      </c>
      <c r="F71">
        <v>-2508561.0804637801</v>
      </c>
      <c r="G71">
        <v>-0.62581787289094404</v>
      </c>
      <c r="H71">
        <v>-2519134.7803531801</v>
      </c>
      <c r="I71">
        <v>-3.75972318209879</v>
      </c>
      <c r="J71" t="str">
        <f t="shared" si="2"/>
        <v>4169579.11329302-2508561.08046378i</v>
      </c>
      <c r="K71" t="str">
        <f t="shared" si="3"/>
        <v>-2.25111151805913-0.625817872890944i</v>
      </c>
      <c r="L71" t="str">
        <f t="shared" si="4"/>
        <v>4270085.81263884-2519134.78035318i</v>
      </c>
      <c r="M71" t="str">
        <f t="shared" si="5"/>
        <v>-3.39602736558822-3.75972318209879i</v>
      </c>
      <c r="N71">
        <f t="shared" si="6"/>
        <v>133.74349944175773</v>
      </c>
      <c r="O71">
        <f t="shared" si="7"/>
        <v>7.3712511315536666</v>
      </c>
      <c r="P71">
        <f t="shared" si="8"/>
        <v>133.90576098912612</v>
      </c>
      <c r="Q71">
        <f t="shared" si="9"/>
        <v>14.094008333994923</v>
      </c>
    </row>
    <row r="72" spans="1:21">
      <c r="A72">
        <v>10096.471541000001</v>
      </c>
      <c r="B72">
        <v>-4564154.94400384</v>
      </c>
      <c r="C72">
        <v>-0.736715178911164</v>
      </c>
      <c r="D72">
        <v>-4674157.36306802</v>
      </c>
      <c r="E72">
        <v>1.88472120051388</v>
      </c>
      <c r="F72">
        <v>1611428.67175164</v>
      </c>
      <c r="G72">
        <v>0.49113165609350701</v>
      </c>
      <c r="H72">
        <v>1605015.74951162</v>
      </c>
      <c r="I72">
        <v>2.18473139324739</v>
      </c>
      <c r="J72" t="str">
        <f t="shared" si="2"/>
        <v>-4564154.94400384+1611428.67175164i</v>
      </c>
      <c r="K72" t="str">
        <f t="shared" si="3"/>
        <v>-0.736715178911164+0.491131656093507i</v>
      </c>
      <c r="L72" t="str">
        <f t="shared" si="4"/>
        <v>-4674157.36306802+1605015.74951162i</v>
      </c>
      <c r="M72" t="str">
        <f t="shared" si="5"/>
        <v>1.88472120051388+2.18473139324739i</v>
      </c>
      <c r="N72">
        <f t="shared" si="6"/>
        <v>133.69739158560964</v>
      </c>
      <c r="O72">
        <f t="shared" si="7"/>
        <v>-1.0570634036751494</v>
      </c>
      <c r="P72">
        <f t="shared" si="8"/>
        <v>133.87813637041276</v>
      </c>
      <c r="Q72">
        <f t="shared" si="9"/>
        <v>9.2039599349631533</v>
      </c>
    </row>
    <row r="73" spans="1:21">
      <c r="A73">
        <v>12710.556156000001</v>
      </c>
      <c r="B73">
        <v>3634729.3209878001</v>
      </c>
      <c r="C73">
        <v>-0.480860912990828</v>
      </c>
      <c r="D73">
        <v>3746157.5314990501</v>
      </c>
      <c r="E73">
        <v>0.67838787492646502</v>
      </c>
      <c r="F73">
        <v>-3154531.8820356699</v>
      </c>
      <c r="G73">
        <v>-2.1727193552745701</v>
      </c>
      <c r="H73">
        <v>-3197849.82953957</v>
      </c>
      <c r="I73">
        <v>0.80565730770456101</v>
      </c>
      <c r="J73" t="str">
        <f t="shared" si="2"/>
        <v>3634729.3209878-3154531.88203567i</v>
      </c>
      <c r="K73" t="str">
        <f t="shared" si="3"/>
        <v>-0.480860912990828-2.17271935527457i</v>
      </c>
      <c r="L73" t="str">
        <f t="shared" si="4"/>
        <v>3746157.53149905-3197849.82953957i</v>
      </c>
      <c r="M73" t="str">
        <f t="shared" si="5"/>
        <v>0.678387874926465+0.805657307704561i</v>
      </c>
      <c r="N73">
        <f t="shared" si="6"/>
        <v>133.64782219175797</v>
      </c>
      <c r="O73">
        <f t="shared" si="7"/>
        <v>6.9477507700949372</v>
      </c>
      <c r="P73">
        <f t="shared" si="8"/>
        <v>133.84889718546103</v>
      </c>
      <c r="Q73">
        <f t="shared" si="9"/>
        <v>0.45046588130881632</v>
      </c>
    </row>
    <row r="74" spans="1:21">
      <c r="A74">
        <v>16000.960204000001</v>
      </c>
      <c r="B74">
        <v>-4773733.9402662199</v>
      </c>
      <c r="C74">
        <v>1.0163244778104299</v>
      </c>
      <c r="D74">
        <v>-4896196.1499282904</v>
      </c>
      <c r="E74">
        <v>1.5572905455833199</v>
      </c>
      <c r="F74">
        <v>-137152.25372436401</v>
      </c>
      <c r="G74">
        <v>0.13455933767703199</v>
      </c>
      <c r="H74">
        <v>-175915.70796624699</v>
      </c>
      <c r="I74">
        <v>-1.0930675599681401</v>
      </c>
      <c r="J74" t="str">
        <f t="shared" si="2"/>
        <v>-4773733.94026622-137152.253724364i</v>
      </c>
      <c r="K74" t="str">
        <f t="shared" si="3"/>
        <v>1.01632447781043+0.134559337677032i</v>
      </c>
      <c r="L74" t="str">
        <f t="shared" si="4"/>
        <v>-4896196.14992829-175915.707966247i</v>
      </c>
      <c r="M74" t="str">
        <f t="shared" si="5"/>
        <v>1.55729054558332-1.09306755996814i</v>
      </c>
      <c r="N74">
        <f t="shared" si="6"/>
        <v>133.58074760107678</v>
      </c>
      <c r="O74">
        <f t="shared" si="7"/>
        <v>0.2161166610179277</v>
      </c>
      <c r="P74">
        <f t="shared" si="8"/>
        <v>133.80277884060621</v>
      </c>
      <c r="Q74">
        <f t="shared" si="9"/>
        <v>5.587026360166333</v>
      </c>
    </row>
    <row r="75" spans="1:21">
      <c r="A75" t="s">
        <v>22</v>
      </c>
      <c r="B75" t="s">
        <v>1</v>
      </c>
      <c r="C75" t="s">
        <v>2</v>
      </c>
      <c r="D75" t="s">
        <v>23</v>
      </c>
    </row>
    <row r="78" spans="1:21">
      <c r="I78" t="s">
        <v>24</v>
      </c>
      <c r="J78" t="s">
        <v>34</v>
      </c>
      <c r="N78" t="s">
        <v>33</v>
      </c>
      <c r="R78" t="s">
        <v>35</v>
      </c>
    </row>
    <row r="79" spans="1:21">
      <c r="I79" t="s">
        <v>36</v>
      </c>
      <c r="J79" t="s">
        <v>26</v>
      </c>
      <c r="K79" t="s">
        <v>27</v>
      </c>
      <c r="L79" t="s">
        <v>28</v>
      </c>
      <c r="M79" t="s">
        <v>29</v>
      </c>
      <c r="N79" t="s">
        <v>26</v>
      </c>
      <c r="O79" t="s">
        <v>27</v>
      </c>
      <c r="P79" t="s">
        <v>28</v>
      </c>
      <c r="Q79" t="s">
        <v>29</v>
      </c>
      <c r="R79" t="s">
        <v>26</v>
      </c>
      <c r="S79" t="s">
        <v>27</v>
      </c>
      <c r="T79" t="s">
        <v>28</v>
      </c>
      <c r="U79" t="s">
        <v>29</v>
      </c>
    </row>
    <row r="80" spans="1:21">
      <c r="I80">
        <v>16.001450999999999</v>
      </c>
      <c r="J80" t="str">
        <f>IMDIV(J44,J13)</f>
        <v>1.16613846768542+0.316992075128008i</v>
      </c>
      <c r="K80" t="str">
        <f>IMDIV(K44,J13)</f>
        <v>-0.00001182094500616+0.0000371505079805498i</v>
      </c>
      <c r="L80" t="str">
        <f t="shared" ref="K80:M80" si="10">IMDIV(L44,L13)</f>
        <v>1.15771682782114+0.33094514073648i</v>
      </c>
      <c r="M80" t="str">
        <f>IMDIV(M44,L13)</f>
        <v>0.0000151312247565115-0.0000276380150871391i</v>
      </c>
      <c r="N80">
        <f>20*LOG(IMABS(J80))</f>
        <v>1.64460791769961</v>
      </c>
      <c r="O80">
        <f t="shared" ref="O80:Q80" si="11">20*LOG(IMABS(K80))</f>
        <v>-88.181864182542441</v>
      </c>
      <c r="P80">
        <f t="shared" si="11"/>
        <v>1.6131796251709127</v>
      </c>
      <c r="Q80">
        <f t="shared" si="11"/>
        <v>-90.03132177067819</v>
      </c>
      <c r="R80">
        <f>DEGREES(IMARGUMENT(J80))</f>
        <v>15.207287010747224</v>
      </c>
      <c r="T80">
        <f t="shared" ref="S80:U95" si="12">DEGREES(IMARGUMENT(L80))</f>
        <v>15.953123849937768</v>
      </c>
    </row>
    <row r="81" spans="9:20">
      <c r="I81">
        <v>20.143118000000001</v>
      </c>
      <c r="J81" t="str">
        <f t="shared" ref="J81:M81" si="13">IMDIV(J45,J14)</f>
        <v>1.18982497634402+0.255306844243523i</v>
      </c>
      <c r="K81" t="str">
        <f t="shared" ref="K81:M110" si="14">IMDIV(K45,J14)</f>
        <v>0.0000336603288857703-0.0000937861167038036i</v>
      </c>
      <c r="L81" t="str">
        <f t="shared" si="13"/>
        <v>1.18376968546996+0.267074333450889i</v>
      </c>
      <c r="M81" t="str">
        <f t="shared" si="14"/>
        <v>-0.000040050991896217+0.0000964603300644811i</v>
      </c>
      <c r="N81">
        <f t="shared" ref="N81:N110" si="15">20*LOG(IMABS(J81))</f>
        <v>1.7051548608357303</v>
      </c>
      <c r="O81">
        <f t="shared" ref="O81:O110" si="16">20*LOG(IMABS(K81))</f>
        <v>-80.031009004515994</v>
      </c>
      <c r="P81">
        <f t="shared" ref="P81:P110" si="17">20*LOG(IMABS(L81))</f>
        <v>1.6809640621878659</v>
      </c>
      <c r="Q81">
        <f t="shared" ref="Q81:Q110" si="18">20*LOG(IMABS(M81))</f>
        <v>-79.622279082017997</v>
      </c>
      <c r="R81">
        <f t="shared" ref="R81:R110" si="19">DEGREES(IMARGUMENT(J81))</f>
        <v>12.110610214295802</v>
      </c>
      <c r="T81">
        <f t="shared" si="12"/>
        <v>12.713832208061401</v>
      </c>
    </row>
    <row r="82" spans="9:20">
      <c r="I82">
        <v>25.362767999999999</v>
      </c>
      <c r="J82" t="str">
        <f t="shared" ref="J82:M82" si="20">IMDIV(J46,J15)</f>
        <v>1.20526272978361+0.204653371242213i</v>
      </c>
      <c r="K82" t="str">
        <f t="shared" si="14"/>
        <v>0.0000172144972262542-0.0000433612971810297i</v>
      </c>
      <c r="L82" t="str">
        <f t="shared" si="20"/>
        <v>1.20091543846743+0.21417321831857i</v>
      </c>
      <c r="M82" t="str">
        <f t="shared" si="14"/>
        <v>-0.0000514435013189531-0.0000405587470701856i</v>
      </c>
      <c r="N82">
        <f t="shared" si="15"/>
        <v>1.7450790630895376</v>
      </c>
      <c r="O82">
        <f t="shared" si="16"/>
        <v>-86.622331459340245</v>
      </c>
      <c r="P82">
        <f t="shared" si="17"/>
        <v>1.7262279441457793</v>
      </c>
      <c r="Q82">
        <f t="shared" si="18"/>
        <v>-83.673963689706582</v>
      </c>
      <c r="R82">
        <f t="shared" si="19"/>
        <v>9.6368965578238068</v>
      </c>
      <c r="T82">
        <f t="shared" si="12"/>
        <v>10.111911606053829</v>
      </c>
    </row>
    <row r="83" spans="9:20">
      <c r="I83">
        <v>31.929302</v>
      </c>
      <c r="J83" t="str">
        <f t="shared" ref="J83:M83" si="21">IMDIV(J47,J16)</f>
        <v>1.21504237864512+0.163538121781689i</v>
      </c>
      <c r="K83" t="str">
        <f t="shared" si="14"/>
        <v>0.0000894716219905836-0.00039594448176042i</v>
      </c>
      <c r="L83" t="str">
        <f t="shared" si="21"/>
        <v>1.21155606406143+0.17100948301901i</v>
      </c>
      <c r="M83" t="str">
        <f t="shared" si="14"/>
        <v>-0.0000531779734641974+0.000281683856955911i</v>
      </c>
      <c r="N83">
        <f t="shared" si="15"/>
        <v>1.7697998663409997</v>
      </c>
      <c r="O83">
        <f t="shared" si="16"/>
        <v>-67.831028712684841</v>
      </c>
      <c r="P83">
        <f t="shared" si="17"/>
        <v>1.7525438996097045</v>
      </c>
      <c r="Q83">
        <f t="shared" si="18"/>
        <v>-70.852671993810773</v>
      </c>
      <c r="R83">
        <f t="shared" si="19"/>
        <v>7.6656336040615933</v>
      </c>
      <c r="T83">
        <f t="shared" si="12"/>
        <v>8.0341469320198389</v>
      </c>
    </row>
    <row r="84" spans="9:20">
      <c r="I84">
        <v>40.195312000000001</v>
      </c>
      <c r="J84" t="str">
        <f t="shared" ref="J84:M84" si="22">IMDIV(J48,J17)</f>
        <v>1.22134983408827+0.130454822926306i</v>
      </c>
      <c r="K84" t="str">
        <f t="shared" si="14"/>
        <v>-0.000162915762760132-0.000030216744224611i</v>
      </c>
      <c r="L84" t="str">
        <f t="shared" si="22"/>
        <v>1.21843850532414+0.136384962490135i</v>
      </c>
      <c r="M84" t="str">
        <f t="shared" si="14"/>
        <v>0.0000333448198340538-0.0000547177822336847i</v>
      </c>
      <c r="N84">
        <f t="shared" si="15"/>
        <v>1.7860688525923467</v>
      </c>
      <c r="O84">
        <f t="shared" si="16"/>
        <v>-75.613849206953518</v>
      </c>
      <c r="P84">
        <f t="shared" si="17"/>
        <v>1.7701481670657602</v>
      </c>
      <c r="Q84">
        <f t="shared" si="18"/>
        <v>-83.865902885980944</v>
      </c>
      <c r="R84">
        <f t="shared" si="19"/>
        <v>6.096761544089226</v>
      </c>
      <c r="T84">
        <f t="shared" si="12"/>
        <v>6.3867730060610155</v>
      </c>
    </row>
    <row r="85" spans="9:20">
      <c r="I85">
        <v>50.597405000000002</v>
      </c>
      <c r="J85" t="str">
        <f t="shared" ref="J85:M85" si="23">IMDIV(J49,J18)</f>
        <v>1.22552048837013+0.104022046133762i</v>
      </c>
      <c r="K85" t="str">
        <f t="shared" si="14"/>
        <v>-0.000114389164569111+0.0000439389520602538i</v>
      </c>
      <c r="L85" t="str">
        <f t="shared" si="23"/>
        <v>1.22318892261629+0.108346524244376i</v>
      </c>
      <c r="M85" t="str">
        <f t="shared" si="14"/>
        <v>-0.000049513848623968+0.000280964355803222i</v>
      </c>
      <c r="N85">
        <f t="shared" si="15"/>
        <v>1.7975885129087721</v>
      </c>
      <c r="O85">
        <f t="shared" si="16"/>
        <v>-78.234598407549313</v>
      </c>
      <c r="P85">
        <f t="shared" si="17"/>
        <v>1.7838121310982789</v>
      </c>
      <c r="Q85">
        <f t="shared" si="18"/>
        <v>-70.894151292457465</v>
      </c>
      <c r="R85">
        <f t="shared" si="19"/>
        <v>4.8516305056979325</v>
      </c>
      <c r="T85">
        <f t="shared" si="12"/>
        <v>5.0618830762708447</v>
      </c>
    </row>
    <row r="86" spans="9:20">
      <c r="I86">
        <v>63.69847</v>
      </c>
      <c r="J86" t="str">
        <f t="shared" ref="J86:M86" si="24">IMDIV(J50,J19)</f>
        <v>1.22823840819385+0.0825986237504418i</v>
      </c>
      <c r="K86" t="str">
        <f t="shared" si="14"/>
        <v>-0.0000146584660096872-2.75775041911732E-06i</v>
      </c>
      <c r="L86" t="str">
        <f t="shared" si="24"/>
        <v>1.2257172704991+0.0862682473349907i</v>
      </c>
      <c r="M86" t="str">
        <f t="shared" si="14"/>
        <v>0.0000197444647611154-0.0000128006210567697i</v>
      </c>
      <c r="N86">
        <f t="shared" si="15"/>
        <v>1.8052502460146045</v>
      </c>
      <c r="O86">
        <f t="shared" si="16"/>
        <v>-96.527171972429798</v>
      </c>
      <c r="P86">
        <f t="shared" si="17"/>
        <v>1.7892662307807101</v>
      </c>
      <c r="Q86">
        <f t="shared" si="18"/>
        <v>-92.567256426589211</v>
      </c>
      <c r="R86">
        <f t="shared" si="19"/>
        <v>3.8473291902708979</v>
      </c>
      <c r="T86">
        <f t="shared" si="12"/>
        <v>4.0259439916655744</v>
      </c>
    </row>
    <row r="87" spans="9:20">
      <c r="I87">
        <v>80.201261000000002</v>
      </c>
      <c r="J87" t="str">
        <f t="shared" ref="J87:M87" si="25">IMDIV(J51,J20)</f>
        <v>1.23007368462787+0.0655618692245916i</v>
      </c>
      <c r="K87" t="str">
        <f t="shared" si="14"/>
        <v>-0.0000024514057236371+5.55793065196573E-06i</v>
      </c>
      <c r="L87" t="str">
        <f t="shared" si="25"/>
        <v>1.2275136721214+0.0685643616130286i</v>
      </c>
      <c r="M87" t="str">
        <f t="shared" si="14"/>
        <v>-0.0000144311890942067+1.15275663167891E-07i</v>
      </c>
      <c r="N87">
        <f t="shared" si="15"/>
        <v>1.8109424911525402</v>
      </c>
      <c r="O87">
        <f t="shared" si="16"/>
        <v>-104.32973832110646</v>
      </c>
      <c r="P87">
        <f t="shared" si="17"/>
        <v>1.7940553307608875</v>
      </c>
      <c r="Q87">
        <f t="shared" si="18"/>
        <v>-96.813680549707641</v>
      </c>
      <c r="R87">
        <f t="shared" si="19"/>
        <v>3.0509289203341758</v>
      </c>
      <c r="T87">
        <f t="shared" si="12"/>
        <v>3.1970077211597312</v>
      </c>
    </row>
    <row r="88" spans="9:20">
      <c r="I88">
        <v>100.96802700000001</v>
      </c>
      <c r="J88" t="str">
        <f t="shared" ref="J88:M88" si="26">IMDIV(J52,J21)</f>
        <v>1.2312054822528+0.0519232480296105i</v>
      </c>
      <c r="K88" t="str">
        <f t="shared" si="14"/>
        <v>-0.0000534515674559565+0.0000578117589497738i</v>
      </c>
      <c r="L88" t="str">
        <f t="shared" si="26"/>
        <v>1.22867176733331+0.0543717973581822i</v>
      </c>
      <c r="M88" t="str">
        <f t="shared" si="14"/>
        <v>0.0000204834848893517-0.0000571781857501167i</v>
      </c>
      <c r="N88">
        <f t="shared" si="15"/>
        <v>1.8143280350490749</v>
      </c>
      <c r="O88">
        <f t="shared" si="16"/>
        <v>-82.076594806654668</v>
      </c>
      <c r="P88">
        <f t="shared" si="17"/>
        <v>1.797213983467848</v>
      </c>
      <c r="Q88">
        <f t="shared" si="18"/>
        <v>-84.331009891977843</v>
      </c>
      <c r="R88">
        <f t="shared" si="19"/>
        <v>2.4148862140794778</v>
      </c>
      <c r="T88">
        <f t="shared" si="12"/>
        <v>2.5338283595725768</v>
      </c>
    </row>
    <row r="89" spans="9:20">
      <c r="I89">
        <v>127.10439</v>
      </c>
      <c r="J89" t="str">
        <f t="shared" ref="J89:M89" si="27">IMDIV(J53,J22)</f>
        <v>1.2320832766463+0.0408715368905659i</v>
      </c>
      <c r="K89" t="str">
        <f t="shared" si="14"/>
        <v>1.45245828001017E-06-2.80713218387471E-06i</v>
      </c>
      <c r="L89" t="str">
        <f t="shared" si="27"/>
        <v>1.22954352731884+0.0431043299427464i</v>
      </c>
      <c r="M89" t="str">
        <f t="shared" si="14"/>
        <v>-4.22430820389304E-06+6.51989775794653E-07i</v>
      </c>
      <c r="N89">
        <f t="shared" si="15"/>
        <v>1.817577729116179</v>
      </c>
      <c r="O89">
        <f t="shared" si="16"/>
        <v>-110.00450764302943</v>
      </c>
      <c r="P89">
        <f t="shared" si="17"/>
        <v>1.8002123856117875</v>
      </c>
      <c r="Q89">
        <f t="shared" si="18"/>
        <v>-107.38264531722608</v>
      </c>
      <c r="R89">
        <f t="shared" si="19"/>
        <v>1.8999593573984477</v>
      </c>
      <c r="T89">
        <f t="shared" si="12"/>
        <v>2.0078062451108449</v>
      </c>
    </row>
    <row r="90" spans="9:20">
      <c r="I90">
        <v>160.00702200000001</v>
      </c>
      <c r="J90" t="str">
        <f t="shared" ref="J90:M90" si="28">IMDIV(J54,J23)</f>
        <v>1.23265458577318+0.0320014934703802i</v>
      </c>
      <c r="K90" t="str">
        <f t="shared" si="14"/>
        <v>0.0000022662006216855-0.0000053474763750342i</v>
      </c>
      <c r="L90" t="str">
        <f t="shared" si="28"/>
        <v>1.23013575395005+0.0340403246805903i</v>
      </c>
      <c r="M90" t="str">
        <f t="shared" si="14"/>
        <v>2.98299956066389E-06-9.98812960255148E-07i</v>
      </c>
      <c r="N90">
        <f t="shared" si="15"/>
        <v>1.8197540586006744</v>
      </c>
      <c r="O90">
        <f t="shared" si="16"/>
        <v>-104.7196860954744</v>
      </c>
      <c r="P90">
        <f t="shared" si="17"/>
        <v>1.8023851231390631</v>
      </c>
      <c r="Q90">
        <f t="shared" si="18"/>
        <v>-110.0454410037247</v>
      </c>
      <c r="R90">
        <f t="shared" si="19"/>
        <v>1.4871471424604255</v>
      </c>
      <c r="T90">
        <f t="shared" si="12"/>
        <v>1.5850846828597729</v>
      </c>
    </row>
    <row r="91" spans="9:20">
      <c r="I91">
        <v>201.45634899999999</v>
      </c>
      <c r="J91" t="str">
        <f t="shared" ref="J91:M91" si="29">IMDIV(J55,J24)</f>
        <v>1.23308887848666+0.0247700697676603i</v>
      </c>
      <c r="K91" t="str">
        <f t="shared" si="14"/>
        <v>-4.99499383207763E-06-4.97672192683103E-06i</v>
      </c>
      <c r="L91" t="str">
        <f t="shared" si="29"/>
        <v>1.23064060952971+0.0267235290739473i</v>
      </c>
      <c r="M91" t="str">
        <f t="shared" si="14"/>
        <v>1.16401580305439E-06-7.76474679957464E-06i</v>
      </c>
      <c r="N91">
        <f t="shared" si="15"/>
        <v>1.821639729538111</v>
      </c>
      <c r="O91">
        <f t="shared" si="16"/>
        <v>-103.03488756362684</v>
      </c>
      <c r="P91">
        <f t="shared" si="17"/>
        <v>1.8046722633765644</v>
      </c>
      <c r="Q91">
        <f t="shared" si="18"/>
        <v>-102.10093508346554</v>
      </c>
      <c r="R91">
        <f t="shared" si="19"/>
        <v>1.1507926411489813</v>
      </c>
      <c r="T91">
        <f t="shared" si="12"/>
        <v>1.2439901761347154</v>
      </c>
    </row>
    <row r="92" spans="9:20">
      <c r="I92">
        <v>253.58521099999999</v>
      </c>
      <c r="J92" t="str">
        <f t="shared" ref="J92:M92" si="30">IMDIV(J56,J25)</f>
        <v>1.23330913945384+0.0188617914529088i</v>
      </c>
      <c r="K92" t="str">
        <f t="shared" si="14"/>
        <v>0.0000041242453495014-1.17751068213635E-06i</v>
      </c>
      <c r="L92" t="str">
        <f t="shared" si="30"/>
        <v>1.23096199400956+0.0207854023968791i</v>
      </c>
      <c r="M92" t="str">
        <f t="shared" si="14"/>
        <v>-0.0000118068657635544+2.48982961231157E-06i</v>
      </c>
      <c r="N92">
        <f t="shared" si="15"/>
        <v>1.8224546738738168</v>
      </c>
      <c r="O92">
        <f t="shared" si="16"/>
        <v>-107.3527822547606</v>
      </c>
      <c r="P92">
        <f t="shared" si="17"/>
        <v>1.8061309693052392</v>
      </c>
      <c r="Q92">
        <f t="shared" si="18"/>
        <v>-98.368346559685577</v>
      </c>
      <c r="R92">
        <f t="shared" si="19"/>
        <v>0.87619297100963001</v>
      </c>
      <c r="T92">
        <f t="shared" si="12"/>
        <v>0.96737565689332938</v>
      </c>
    </row>
    <row r="93" spans="9:20">
      <c r="I93">
        <v>319.290075</v>
      </c>
      <c r="J93" t="str">
        <f t="shared" ref="J93:M93" si="31">IMDIV(J57,J26)</f>
        <v>1.23338451032511+0.0139634716503514i</v>
      </c>
      <c r="K93" t="str">
        <f t="shared" si="14"/>
        <v>-5.29970193853498E-06+4.54324743766298E-07i</v>
      </c>
      <c r="L93" t="str">
        <f t="shared" si="31"/>
        <v>1.23116688916065+0.015954070663567i</v>
      </c>
      <c r="M93" t="str">
        <f t="shared" si="14"/>
        <v>-3.44688077261954E-06-3.96521628841986E-06i</v>
      </c>
      <c r="N93">
        <f t="shared" si="15"/>
        <v>1.8225264032190687</v>
      </c>
      <c r="O93">
        <f t="shared" si="16"/>
        <v>-105.48317138256031</v>
      </c>
      <c r="P93">
        <f t="shared" si="17"/>
        <v>1.8070677598355811</v>
      </c>
      <c r="Q93">
        <f t="shared" si="18"/>
        <v>-105.5902912545817</v>
      </c>
      <c r="R93">
        <f t="shared" si="19"/>
        <v>0.64863293470785166</v>
      </c>
      <c r="T93">
        <f t="shared" si="12"/>
        <v>0.74242554945898798</v>
      </c>
    </row>
    <row r="94" spans="9:20">
      <c r="I94">
        <v>401.94414</v>
      </c>
      <c r="J94" t="str">
        <f t="shared" ref="J94:M94" si="32">IMDIV(J58,J27)</f>
        <v>1.2334074201538+0.0098275715121715i</v>
      </c>
      <c r="K94" t="str">
        <f t="shared" si="14"/>
        <v>1.47790364092875E-06-2.20132800565757E-06i</v>
      </c>
      <c r="L94" t="str">
        <f t="shared" si="32"/>
        <v>1.23131624081887+0.0119582504097423i</v>
      </c>
      <c r="M94" t="str">
        <f t="shared" si="14"/>
        <v>1.98669575343624E-06+3.49021305504065E-06i</v>
      </c>
      <c r="N94">
        <f t="shared" si="15"/>
        <v>1.8224068443954642</v>
      </c>
      <c r="O94">
        <f t="shared" si="16"/>
        <v>-111.5304194688037</v>
      </c>
      <c r="P94">
        <f t="shared" si="17"/>
        <v>1.8078017553218149</v>
      </c>
      <c r="Q94">
        <f t="shared" si="18"/>
        <v>-107.92404750862141</v>
      </c>
      <c r="R94">
        <f t="shared" si="19"/>
        <v>0.45651294605691217</v>
      </c>
      <c r="T94">
        <f t="shared" si="12"/>
        <v>0.55642548711956163</v>
      </c>
    </row>
    <row r="95" spans="9:20">
      <c r="I95">
        <v>506.01529900000003</v>
      </c>
      <c r="J95" t="str">
        <f t="shared" ref="J95:M95" si="33">IMDIV(J59,J28)</f>
        <v>1.23312269625297+0.00631080849796181i</v>
      </c>
      <c r="K95" t="str">
        <f t="shared" si="14"/>
        <v>-2.86652755293367E-06-0.0000012445229984658i</v>
      </c>
      <c r="L95" t="str">
        <f t="shared" si="33"/>
        <v>1.23132629969545+0.00865124682363737i</v>
      </c>
      <c r="M95" t="str">
        <f t="shared" si="14"/>
        <v>1.98440457910475E-06-0.0000026471098463157i</v>
      </c>
      <c r="N95">
        <f t="shared" si="15"/>
        <v>1.8202395707466801</v>
      </c>
      <c r="O95">
        <f t="shared" si="16"/>
        <v>-110.10291386775341</v>
      </c>
      <c r="P95">
        <f t="shared" si="17"/>
        <v>1.8076774921078962</v>
      </c>
      <c r="Q95">
        <f t="shared" si="18"/>
        <v>-109.60782167897513</v>
      </c>
      <c r="R95">
        <f t="shared" si="19"/>
        <v>0.29322267493784637</v>
      </c>
      <c r="T95">
        <f t="shared" si="12"/>
        <v>0.40255111469836641</v>
      </c>
    </row>
    <row r="96" spans="9:20">
      <c r="I96">
        <v>636.97722999999996</v>
      </c>
      <c r="J96" t="str">
        <f t="shared" ref="J96:M96" si="34">IMDIV(J60,J29)</f>
        <v>1.23282429003413+0.00331507674914652i</v>
      </c>
      <c r="K96" t="str">
        <f t="shared" si="14"/>
        <v>1.20624380546548E-06-6.85245951582045E-07i</v>
      </c>
      <c r="L96" t="str">
        <f t="shared" si="34"/>
        <v>1.23125276871812+0.00590118124394243i</v>
      </c>
      <c r="M96" t="str">
        <f t="shared" si="14"/>
        <v>4.15334277200579E-06-9.40053956141029E-07i</v>
      </c>
      <c r="N96">
        <f t="shared" si="15"/>
        <v>1.8180550545834975</v>
      </c>
      <c r="O96">
        <f t="shared" si="16"/>
        <v>-117.15662647842045</v>
      </c>
      <c r="P96">
        <f t="shared" si="17"/>
        <v>1.8070441635539791</v>
      </c>
      <c r="Q96">
        <f t="shared" si="18"/>
        <v>-107.41507403520258</v>
      </c>
      <c r="R96">
        <f t="shared" si="19"/>
        <v>0.15406854830915948</v>
      </c>
      <c r="T96">
        <f t="shared" ref="T96:T110" si="35">DEGREES(IMARGUMENT(L96))</f>
        <v>0.27460664381413308</v>
      </c>
    </row>
    <row r="97" spans="9:20">
      <c r="I97">
        <v>801.91144499999996</v>
      </c>
      <c r="J97" t="str">
        <f t="shared" ref="J97:M97" si="36">IMDIV(J61,J30)</f>
        <v>1.2321027301871+0.000679105288653136i</v>
      </c>
      <c r="K97" t="str">
        <f t="shared" si="14"/>
        <v>3.85508954058458E-06-1.10936363861533E-06i</v>
      </c>
      <c r="L97" t="str">
        <f t="shared" si="36"/>
        <v>1.23095366726227+0.0035892995592011i</v>
      </c>
      <c r="M97" t="str">
        <f t="shared" si="14"/>
        <v>2.86548740981689E-06-4.22992706775802E-07i</v>
      </c>
      <c r="N97">
        <f t="shared" si="15"/>
        <v>1.8129397177076367</v>
      </c>
      <c r="O97">
        <f t="shared" si="16"/>
        <v>-107.93379098671392</v>
      </c>
      <c r="P97">
        <f t="shared" si="17"/>
        <v>1.8048710552478298</v>
      </c>
      <c r="Q97">
        <f t="shared" si="18"/>
        <v>-110.76241097060142</v>
      </c>
      <c r="R97">
        <f t="shared" si="19"/>
        <v>3.1580047662685379E-2</v>
      </c>
      <c r="T97">
        <f t="shared" si="35"/>
        <v>0.16706651012607959</v>
      </c>
    </row>
    <row r="98" spans="9:20">
      <c r="I98">
        <v>1009.546788</v>
      </c>
      <c r="J98" t="str">
        <f t="shared" ref="J98:M98" si="37">IMDIV(J62,J31)</f>
        <v>1.23144749452326-0.00157336197303679i</v>
      </c>
      <c r="K98" t="str">
        <f t="shared" si="14"/>
        <v>1.22419806524301E-07-2.15931196449551E-06i</v>
      </c>
      <c r="L98" t="str">
        <f t="shared" si="37"/>
        <v>1.2307310540803+0.00160988104907219i</v>
      </c>
      <c r="M98" t="str">
        <f t="shared" si="14"/>
        <v>-4.92023665192587E-07+1.92245009739558E-06i</v>
      </c>
      <c r="N98">
        <f t="shared" si="15"/>
        <v>1.8083250787577401</v>
      </c>
      <c r="O98">
        <f t="shared" si="16"/>
        <v>-113.29975547932592</v>
      </c>
      <c r="P98">
        <f t="shared" si="17"/>
        <v>1.8032706099810243</v>
      </c>
      <c r="Q98">
        <f t="shared" si="18"/>
        <v>-114.04735133113626</v>
      </c>
      <c r="R98">
        <f t="shared" si="19"/>
        <v>-7.3204056243149976E-2</v>
      </c>
      <c r="T98">
        <f t="shared" si="35"/>
        <v>7.4946786071268243E-2</v>
      </c>
    </row>
    <row r="99" spans="9:20">
      <c r="I99">
        <v>1271.06546</v>
      </c>
      <c r="J99" t="str">
        <f t="shared" ref="J99:M99" si="38">IMDIV(J63,J32)</f>
        <v>1.23048604089319-0.00363932325277976i</v>
      </c>
      <c r="K99" t="str">
        <f t="shared" si="14"/>
        <v>1.07134570964124E-06-1.94843219446694E-06i</v>
      </c>
      <c r="L99" t="str">
        <f t="shared" si="38"/>
        <v>1.23036624561062-0.000108099135079885i</v>
      </c>
      <c r="M99" t="str">
        <f t="shared" si="14"/>
        <v>-1.10493519610092E-06-9.10704331500073E-07i</v>
      </c>
      <c r="N99">
        <f t="shared" si="15"/>
        <v>1.8015718153507776</v>
      </c>
      <c r="O99">
        <f t="shared" si="16"/>
        <v>-113.05906636006112</v>
      </c>
      <c r="P99">
        <f t="shared" si="17"/>
        <v>1.8006881935600652</v>
      </c>
      <c r="Q99">
        <f t="shared" si="18"/>
        <v>-116.88190178516349</v>
      </c>
      <c r="R99">
        <f t="shared" si="19"/>
        <v>-0.1694592605951846</v>
      </c>
      <c r="T99">
        <f t="shared" si="35"/>
        <v>-5.0339679061021554E-3</v>
      </c>
    </row>
    <row r="100" spans="9:20">
      <c r="I100">
        <v>1600.019278</v>
      </c>
      <c r="J100" t="str">
        <f t="shared" ref="J100:M100" si="39">IMDIV(J64,J33)</f>
        <v>1.22935756537194-0.00531589863979919i</v>
      </c>
      <c r="K100" t="str">
        <f t="shared" si="14"/>
        <v>-1.21466614135312E-06+0.0000005272753883245i</v>
      </c>
      <c r="L100" t="str">
        <f t="shared" si="39"/>
        <v>1.23000235540204-0.00159379218855058i</v>
      </c>
      <c r="M100" t="str">
        <f t="shared" si="14"/>
        <v>1.80995541914687E-07-9.27729884980811E-07i</v>
      </c>
      <c r="N100">
        <f t="shared" si="15"/>
        <v>1.7936455676672611</v>
      </c>
      <c r="O100">
        <f t="shared" si="16"/>
        <v>-117.56110782059366</v>
      </c>
      <c r="P100">
        <f t="shared" si="17"/>
        <v>1.7981261537237656</v>
      </c>
      <c r="Q100">
        <f t="shared" si="18"/>
        <v>-120.48933574453341</v>
      </c>
      <c r="R100">
        <f t="shared" si="19"/>
        <v>-0.2477527016027524</v>
      </c>
      <c r="T100">
        <f t="shared" si="35"/>
        <v>-7.4241739714049432E-2</v>
      </c>
    </row>
    <row r="101" spans="9:20">
      <c r="I101">
        <v>2014.3138919999999</v>
      </c>
      <c r="J101" t="str">
        <f t="shared" ref="J101:M101" si="40">IMDIV(J65,J34)</f>
        <v>1.22819244481249-0.00667286450375044i</v>
      </c>
      <c r="K101" t="str">
        <f t="shared" si="14"/>
        <v>8.74419230878701E-07+9.25609109524485E-07i</v>
      </c>
      <c r="L101" t="str">
        <f t="shared" si="40"/>
        <v>1.22970450177213-0.0029098521218293i</v>
      </c>
      <c r="M101" t="str">
        <f t="shared" si="14"/>
        <v>6.81974866051042E-07+1.04007754177066E-06i</v>
      </c>
      <c r="N101">
        <f t="shared" si="15"/>
        <v>1.7854566246903658</v>
      </c>
      <c r="O101">
        <f t="shared" si="16"/>
        <v>-117.90120220074172</v>
      </c>
      <c r="P101">
        <f t="shared" si="17"/>
        <v>1.796039576330928</v>
      </c>
      <c r="Q101">
        <f t="shared" si="18"/>
        <v>-118.1055151454518</v>
      </c>
      <c r="R101">
        <f t="shared" si="19"/>
        <v>-0.31128933671960984</v>
      </c>
      <c r="T101">
        <f t="shared" si="35"/>
        <v>-0.13557885993596089</v>
      </c>
    </row>
    <row r="102" spans="9:20">
      <c r="I102">
        <v>2536.1076779999999</v>
      </c>
      <c r="J102" t="str">
        <f t="shared" ref="J102:M102" si="41">IMDIV(J66,J35)</f>
        <v>1.22709383317395-0.00778931688703703i</v>
      </c>
      <c r="K102" t="str">
        <f t="shared" si="14"/>
        <v>-5.04431984270101E-08-5.01860831160641E-08i</v>
      </c>
      <c r="L102" t="str">
        <f t="shared" si="41"/>
        <v>1.22953996520526-0.00421111547935755i</v>
      </c>
      <c r="M102" t="str">
        <f t="shared" si="14"/>
        <v>-2.12227987164779E-06+1.24359839586007E-06i</v>
      </c>
      <c r="N102">
        <f t="shared" si="15"/>
        <v>1.7777304630926314</v>
      </c>
      <c r="O102">
        <f t="shared" si="16"/>
        <v>-142.95578416434091</v>
      </c>
      <c r="P102">
        <f t="shared" si="17"/>
        <v>1.7949039376561216</v>
      </c>
      <c r="Q102">
        <f t="shared" si="18"/>
        <v>-112.18200923610658</v>
      </c>
      <c r="R102">
        <f t="shared" si="19"/>
        <v>-0.36369589400692298</v>
      </c>
      <c r="T102">
        <f t="shared" si="35"/>
        <v>-0.1962345327672462</v>
      </c>
    </row>
    <row r="103" spans="9:20">
      <c r="I103">
        <v>3192.5215979999998</v>
      </c>
      <c r="J103" t="str">
        <f t="shared" ref="J103:M103" si="42">IMDIV(J67,J36)</f>
        <v>1.22621785089827-0.00874648345441892i</v>
      </c>
      <c r="K103" t="str">
        <f t="shared" si="14"/>
        <v>7.15455944773358E-08+1.48669936773397E-06i</v>
      </c>
      <c r="L103" t="str">
        <f t="shared" si="42"/>
        <v>1.229430795487-0.00553243036316076i</v>
      </c>
      <c r="M103" t="str">
        <f t="shared" si="14"/>
        <v>1.43967727231661E-06-9.53132466028069E-07i</v>
      </c>
      <c r="N103">
        <f t="shared" si="15"/>
        <v>1.7715736387952887</v>
      </c>
      <c r="O103">
        <f t="shared" si="16"/>
        <v>-116.54549067545922</v>
      </c>
      <c r="P103">
        <f t="shared" si="17"/>
        <v>1.7941696910431193</v>
      </c>
      <c r="Q103">
        <f t="shared" si="18"/>
        <v>-115.25618772339426</v>
      </c>
      <c r="R103">
        <f t="shared" si="19"/>
        <v>-0.40867786130878259</v>
      </c>
      <c r="T103">
        <f t="shared" si="35"/>
        <v>-0.25782888455936676</v>
      </c>
    </row>
    <row r="104" spans="9:20">
      <c r="I104">
        <v>4019.4603149999998</v>
      </c>
      <c r="J104" t="str">
        <f t="shared" ref="J104:M104" si="43">IMDIV(J68,J37)</f>
        <v>1.22520980524367-0.00970094117642679i</v>
      </c>
      <c r="K104" t="str">
        <f t="shared" si="14"/>
        <v>1.31104042417535E-06+1.54907983788108E-07i</v>
      </c>
      <c r="L104" t="str">
        <f t="shared" si="43"/>
        <v>1.22937065865983-0.00701595978709543i</v>
      </c>
      <c r="M104" t="str">
        <f t="shared" si="14"/>
        <v>1.18007271035178E-07-6.54853688889314E-07i</v>
      </c>
      <c r="N104">
        <f t="shared" si="15"/>
        <v>1.7644815313946016</v>
      </c>
      <c r="O104">
        <f t="shared" si="16"/>
        <v>-117.58746598393631</v>
      </c>
      <c r="P104">
        <f t="shared" si="17"/>
        <v>1.7937983167835301</v>
      </c>
      <c r="Q104">
        <f t="shared" si="18"/>
        <v>-123.53832533573772</v>
      </c>
      <c r="R104">
        <f t="shared" si="19"/>
        <v>-0.45364587329927586</v>
      </c>
      <c r="T104">
        <f t="shared" si="35"/>
        <v>-0.32698073454489907</v>
      </c>
    </row>
    <row r="105" spans="9:20">
      <c r="I105">
        <v>5059.7908310000003</v>
      </c>
      <c r="J105" t="str">
        <f t="shared" ref="J105:M105" si="44">IMDIV(J69,J38)</f>
        <v>1.22494532495518-0.0107872381383071i</v>
      </c>
      <c r="K105" t="str">
        <f t="shared" si="14"/>
        <v>2.1153559715764E-07-2.58252490933361E-08i</v>
      </c>
      <c r="L105" t="str">
        <f t="shared" si="44"/>
        <v>1.22925550845856-0.00875648499546411i</v>
      </c>
      <c r="M105" t="str">
        <f t="shared" si="14"/>
        <v>4.37158904464182E-07+5.43153167510826E-07i</v>
      </c>
      <c r="N105">
        <f t="shared" si="15"/>
        <v>1.7626708771813182</v>
      </c>
      <c r="O105">
        <f t="shared" si="16"/>
        <v>-133.42807831107265</v>
      </c>
      <c r="P105">
        <f t="shared" si="17"/>
        <v>1.7930636299923839</v>
      </c>
      <c r="Q105">
        <f t="shared" si="18"/>
        <v>-123.13253588386135</v>
      </c>
      <c r="R105">
        <f t="shared" si="19"/>
        <v>-0.50455087990446079</v>
      </c>
      <c r="T105">
        <f t="shared" si="35"/>
        <v>-0.4081341465207915</v>
      </c>
    </row>
    <row r="106" spans="9:20">
      <c r="I106">
        <v>6369.7354210000003</v>
      </c>
      <c r="J106" t="str">
        <f t="shared" ref="J106:M106" si="45">IMDIV(J70,J39)</f>
        <v>1.22432590576643-0.0123391927206307i</v>
      </c>
      <c r="K106" t="str">
        <f t="shared" si="14"/>
        <v>-2.91413709726289E-07+7.51966993281199E-07i</v>
      </c>
      <c r="L106" t="str">
        <f t="shared" si="45"/>
        <v>1.22928587262506-0.0109985874263961i</v>
      </c>
      <c r="M106" t="str">
        <f t="shared" si="14"/>
        <v>1.57562834382078E-07+2.00777355532132E-07i</v>
      </c>
      <c r="N106">
        <f t="shared" si="15"/>
        <v>1.7583818830354001</v>
      </c>
      <c r="O106">
        <f t="shared" si="16"/>
        <v>-121.86835286864712</v>
      </c>
      <c r="P106">
        <f t="shared" si="17"/>
        <v>1.7934054559666814</v>
      </c>
      <c r="Q106">
        <f t="shared" si="18"/>
        <v>-131.86168291941999</v>
      </c>
      <c r="R106">
        <f t="shared" si="19"/>
        <v>-0.57742773124356195</v>
      </c>
      <c r="T106">
        <f t="shared" si="35"/>
        <v>-0.51261943182823111</v>
      </c>
    </row>
    <row r="107" spans="9:20">
      <c r="I107">
        <v>8019.2636849999999</v>
      </c>
      <c r="J107" t="str">
        <f t="shared" ref="J107:M107" si="46">IMDIV(J71,J40)</f>
        <v>1.22409754403564-0.0145410806517118i</v>
      </c>
      <c r="K107" t="str">
        <f t="shared" si="14"/>
        <v>-4.09149559598716E-07-4.22034248676909E-07i</v>
      </c>
      <c r="L107" t="str">
        <f t="shared" si="46"/>
        <v>1.22936453464821-0.0139218409724225i</v>
      </c>
      <c r="M107" t="str">
        <f t="shared" si="14"/>
        <v>-2.65520562227676E-07-1.22800189516834E-06i</v>
      </c>
      <c r="N107">
        <f t="shared" si="15"/>
        <v>1.7569333264974922</v>
      </c>
      <c r="O107">
        <f t="shared" si="16"/>
        <v>-124.61531498370658</v>
      </c>
      <c r="P107">
        <f t="shared" si="17"/>
        <v>1.7941705186117987</v>
      </c>
      <c r="Q107">
        <f t="shared" si="18"/>
        <v>-118.01758213651937</v>
      </c>
      <c r="R107">
        <f t="shared" si="19"/>
        <v>-0.6805857668068257</v>
      </c>
      <c r="T107">
        <f t="shared" si="35"/>
        <v>-0.64881376746088903</v>
      </c>
    </row>
    <row r="108" spans="9:20">
      <c r="I108">
        <v>10096.471541000001</v>
      </c>
      <c r="J108" t="str">
        <f t="shared" ref="J108:M108" si="47">IMDIV(J72,J41)</f>
        <v>1.22412305290962-0.0170030947193164i</v>
      </c>
      <c r="K108" t="str">
        <f t="shared" si="14"/>
        <v>2.16276132099366E-07-5.8108995680327E-08i</v>
      </c>
      <c r="L108" t="str">
        <f t="shared" si="47"/>
        <v>1.22963855750578-0.0171293499579209i</v>
      </c>
      <c r="M108" t="str">
        <f t="shared" si="14"/>
        <v>-2.76265341422209E-07-6.62698299037857E-07i</v>
      </c>
      <c r="N108">
        <f t="shared" si="15"/>
        <v>1.7573393496763656</v>
      </c>
      <c r="O108">
        <f t="shared" si="16"/>
        <v>-132.99711563960844</v>
      </c>
      <c r="P108">
        <f t="shared" si="17"/>
        <v>1.7963921478752898</v>
      </c>
      <c r="Q108">
        <f t="shared" si="18"/>
        <v>-122.87778428757433</v>
      </c>
      <c r="R108">
        <f t="shared" si="19"/>
        <v>-0.7957883964232304</v>
      </c>
      <c r="T108">
        <f t="shared" si="35"/>
        <v>-0.79810117785488044</v>
      </c>
    </row>
    <row r="109" spans="9:20">
      <c r="I109">
        <v>12710.556156000001</v>
      </c>
      <c r="J109" t="str">
        <f t="shared" ref="J109:M109" si="48">IMDIV(J73,J42)</f>
        <v>1.22397816713607-0.0208086212356548i</v>
      </c>
      <c r="K109" t="str">
        <f t="shared" si="14"/>
        <v>2.61367324706307E-07-5.02063092379112E-07i</v>
      </c>
      <c r="L109" t="str">
        <f t="shared" si="48"/>
        <v>1.22970527722536-0.0217239002055233i</v>
      </c>
      <c r="M109" t="str">
        <f t="shared" si="14"/>
        <v>2.86993748474387E-09+2.62979181531133E-07i</v>
      </c>
      <c r="N109">
        <f t="shared" si="15"/>
        <v>1.7567284713421649</v>
      </c>
      <c r="O109">
        <f t="shared" si="16"/>
        <v>-124.94334295032087</v>
      </c>
      <c r="P109">
        <f t="shared" si="17"/>
        <v>1.7973758943573515</v>
      </c>
      <c r="Q109">
        <f t="shared" si="18"/>
        <v>-131.6010554097949</v>
      </c>
      <c r="R109">
        <f t="shared" si="19"/>
        <v>-0.9739808782619096</v>
      </c>
      <c r="T109">
        <f t="shared" si="35"/>
        <v>-1.0120785530040883</v>
      </c>
    </row>
    <row r="110" spans="9:20">
      <c r="I110">
        <v>16000.960204000001</v>
      </c>
      <c r="J110" t="str">
        <f t="shared" ref="J110:M110" si="49">IMDIV(J74,J43)</f>
        <v>1.22404695817957-0.0254327196504228i</v>
      </c>
      <c r="K110" t="str">
        <f t="shared" si="14"/>
        <v>-2.61935095011267E-07-2.15625891886578E-08i</v>
      </c>
      <c r="L110" t="str">
        <f t="shared" si="49"/>
        <v>1.22998911490836-0.0272065738348111i</v>
      </c>
      <c r="M110" t="str">
        <f t="shared" si="14"/>
        <v>-3.74477936338656E-07+2.96700999640495E-07i</v>
      </c>
      <c r="N110">
        <f t="shared" si="15"/>
        <v>1.7578360564825548</v>
      </c>
      <c r="O110">
        <f t="shared" si="16"/>
        <v>-131.60679488357627</v>
      </c>
      <c r="P110">
        <f t="shared" si="17"/>
        <v>1.8001496974666535</v>
      </c>
      <c r="Q110">
        <f t="shared" si="18"/>
        <v>-126.41560278297327</v>
      </c>
      <c r="R110">
        <f t="shared" si="19"/>
        <v>-1.1902957229025357</v>
      </c>
      <c r="T110">
        <f t="shared" si="35"/>
        <v>-1.267139428473298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Measured RIAA Response</vt:lpstr>
      <vt:lpstr>RIAADeemphasisChart</vt:lpstr>
    </vt:vector>
  </TitlesOfParts>
  <Company>Crystal Lake Designs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Williamsen</dc:creator>
  <cp:lastModifiedBy>Mark Williamsen</cp:lastModifiedBy>
  <dcterms:created xsi:type="dcterms:W3CDTF">2026-06-06T11:41:58Z</dcterms:created>
  <dcterms:modified xsi:type="dcterms:W3CDTF">2026-06-06T12:43:06Z</dcterms:modified>
</cp:coreProperties>
</file>