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980" yWindow="1060" windowWidth="31200" windowHeight="18380" tabRatio="500"/>
  </bookViews>
  <sheets>
    <sheet name="Premphasis" sheetId="1" r:id="rId1"/>
  </sheets>
  <definedNames>
    <definedName name="_scale">Premphasis!$J$6</definedName>
    <definedName name="_startFreq">Premphasis!$C$2</definedName>
    <definedName name="_stepsDecade">Premphasis!$C$3</definedName>
    <definedName name="_t1">Premphasis!$C$3</definedName>
    <definedName name="_t2">Premphasis!$C$4</definedName>
    <definedName name="_t3">Premphasis!$C$5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6" i="1" l="1"/>
  <c r="I11" i="1"/>
  <c r="J11" i="1"/>
  <c r="L11" i="1"/>
  <c r="M11" i="1"/>
  <c r="I12" i="1"/>
  <c r="J12" i="1"/>
  <c r="L12" i="1"/>
  <c r="M12" i="1"/>
  <c r="I13" i="1"/>
  <c r="J13" i="1"/>
  <c r="L13" i="1"/>
  <c r="M13" i="1"/>
  <c r="I14" i="1"/>
  <c r="J14" i="1"/>
  <c r="L14" i="1"/>
  <c r="M14" i="1"/>
  <c r="I15" i="1"/>
  <c r="J15" i="1"/>
  <c r="L15" i="1"/>
  <c r="M15" i="1"/>
  <c r="I16" i="1"/>
  <c r="J16" i="1"/>
  <c r="L16" i="1"/>
  <c r="M16" i="1"/>
  <c r="I17" i="1"/>
  <c r="J17" i="1"/>
  <c r="L17" i="1"/>
  <c r="M17" i="1"/>
  <c r="I18" i="1"/>
  <c r="J18" i="1"/>
  <c r="L18" i="1"/>
  <c r="M18" i="1"/>
  <c r="I19" i="1"/>
  <c r="J19" i="1"/>
  <c r="L19" i="1"/>
  <c r="M19" i="1"/>
  <c r="I20" i="1"/>
  <c r="J20" i="1"/>
  <c r="L20" i="1"/>
  <c r="M20" i="1"/>
  <c r="I21" i="1"/>
  <c r="J21" i="1"/>
  <c r="L21" i="1"/>
  <c r="M21" i="1"/>
  <c r="I22" i="1"/>
  <c r="J22" i="1"/>
  <c r="L22" i="1"/>
  <c r="M22" i="1"/>
  <c r="I23" i="1"/>
  <c r="J23" i="1"/>
  <c r="L23" i="1"/>
  <c r="M23" i="1"/>
  <c r="I24" i="1"/>
  <c r="J24" i="1"/>
  <c r="L24" i="1"/>
  <c r="M24" i="1"/>
  <c r="I25" i="1"/>
  <c r="J25" i="1"/>
  <c r="L25" i="1"/>
  <c r="M25" i="1"/>
  <c r="I26" i="1"/>
  <c r="J26" i="1"/>
  <c r="L26" i="1"/>
  <c r="M26" i="1"/>
  <c r="I27" i="1"/>
  <c r="J27" i="1"/>
  <c r="L27" i="1"/>
  <c r="M27" i="1"/>
  <c r="I28" i="1"/>
  <c r="J28" i="1"/>
  <c r="L28" i="1"/>
  <c r="M28" i="1"/>
  <c r="I29" i="1"/>
  <c r="J29" i="1"/>
  <c r="L29" i="1"/>
  <c r="M29" i="1"/>
  <c r="I30" i="1"/>
  <c r="J30" i="1"/>
  <c r="L30" i="1"/>
  <c r="M30" i="1"/>
  <c r="I31" i="1"/>
  <c r="J31" i="1"/>
  <c r="L31" i="1"/>
  <c r="M31" i="1"/>
  <c r="I32" i="1"/>
  <c r="J32" i="1"/>
  <c r="L32" i="1"/>
  <c r="M32" i="1"/>
  <c r="I33" i="1"/>
  <c r="J33" i="1"/>
  <c r="L33" i="1"/>
  <c r="M33" i="1"/>
  <c r="I34" i="1"/>
  <c r="J34" i="1"/>
  <c r="L34" i="1"/>
  <c r="M34" i="1"/>
  <c r="I35" i="1"/>
  <c r="J35" i="1"/>
  <c r="L35" i="1"/>
  <c r="M35" i="1"/>
  <c r="I36" i="1"/>
  <c r="J36" i="1"/>
  <c r="L36" i="1"/>
  <c r="M36" i="1"/>
  <c r="I37" i="1"/>
  <c r="J37" i="1"/>
  <c r="L37" i="1"/>
  <c r="M37" i="1"/>
  <c r="I38" i="1"/>
  <c r="J38" i="1"/>
  <c r="L38" i="1"/>
  <c r="M38" i="1"/>
  <c r="I39" i="1"/>
  <c r="J39" i="1"/>
  <c r="L39" i="1"/>
  <c r="M39" i="1"/>
  <c r="I40" i="1"/>
  <c r="J40" i="1"/>
  <c r="L40" i="1"/>
  <c r="M40" i="1"/>
  <c r="I10" i="1"/>
  <c r="J10" i="1"/>
  <c r="L10" i="1"/>
  <c r="M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10" i="1"/>
  <c r="D11" i="1"/>
  <c r="G11" i="1"/>
  <c r="H11" i="1"/>
  <c r="D12" i="1"/>
  <c r="G12" i="1"/>
  <c r="H12" i="1"/>
  <c r="D13" i="1"/>
  <c r="G13" i="1"/>
  <c r="H13" i="1"/>
  <c r="D14" i="1"/>
  <c r="G14" i="1"/>
  <c r="H14" i="1"/>
  <c r="D15" i="1"/>
  <c r="G15" i="1"/>
  <c r="H15" i="1"/>
  <c r="D16" i="1"/>
  <c r="G16" i="1"/>
  <c r="H16" i="1"/>
  <c r="D17" i="1"/>
  <c r="G17" i="1"/>
  <c r="H17" i="1"/>
  <c r="D18" i="1"/>
  <c r="G18" i="1"/>
  <c r="H18" i="1"/>
  <c r="D19" i="1"/>
  <c r="G19" i="1"/>
  <c r="H19" i="1"/>
  <c r="D20" i="1"/>
  <c r="G20" i="1"/>
  <c r="H20" i="1"/>
  <c r="D21" i="1"/>
  <c r="G21" i="1"/>
  <c r="H21" i="1"/>
  <c r="D22" i="1"/>
  <c r="G22" i="1"/>
  <c r="H22" i="1"/>
  <c r="D23" i="1"/>
  <c r="G23" i="1"/>
  <c r="H23" i="1"/>
  <c r="D24" i="1"/>
  <c r="G24" i="1"/>
  <c r="H24" i="1"/>
  <c r="D25" i="1"/>
  <c r="G25" i="1"/>
  <c r="H25" i="1"/>
  <c r="D26" i="1"/>
  <c r="G26" i="1"/>
  <c r="H26" i="1"/>
  <c r="D27" i="1"/>
  <c r="G27" i="1"/>
  <c r="H27" i="1"/>
  <c r="D28" i="1"/>
  <c r="G28" i="1"/>
  <c r="H28" i="1"/>
  <c r="D29" i="1"/>
  <c r="G29" i="1"/>
  <c r="H29" i="1"/>
  <c r="D30" i="1"/>
  <c r="G30" i="1"/>
  <c r="H30" i="1"/>
  <c r="D31" i="1"/>
  <c r="G31" i="1"/>
  <c r="H31" i="1"/>
  <c r="D32" i="1"/>
  <c r="G32" i="1"/>
  <c r="H32" i="1"/>
  <c r="D33" i="1"/>
  <c r="G33" i="1"/>
  <c r="H33" i="1"/>
  <c r="D34" i="1"/>
  <c r="G34" i="1"/>
  <c r="H34" i="1"/>
  <c r="D35" i="1"/>
  <c r="G35" i="1"/>
  <c r="H35" i="1"/>
  <c r="D36" i="1"/>
  <c r="G36" i="1"/>
  <c r="H36" i="1"/>
  <c r="D37" i="1"/>
  <c r="G37" i="1"/>
  <c r="H37" i="1"/>
  <c r="D38" i="1"/>
  <c r="G38" i="1"/>
  <c r="H38" i="1"/>
  <c r="D39" i="1"/>
  <c r="G39" i="1"/>
  <c r="H39" i="1"/>
  <c r="D40" i="1"/>
  <c r="G40" i="1"/>
  <c r="H40" i="1"/>
  <c r="D10" i="1"/>
  <c r="H10" i="1"/>
  <c r="G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F10" i="1"/>
  <c r="E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10" i="1"/>
</calcChain>
</file>

<file path=xl/sharedStrings.xml><?xml version="1.0" encoding="utf-8"?>
<sst xmlns="http://schemas.openxmlformats.org/spreadsheetml/2006/main" count="29" uniqueCount="24">
  <si>
    <t>Actual</t>
  </si>
  <si>
    <t>Frequency</t>
  </si>
  <si>
    <t>T1</t>
  </si>
  <si>
    <t>T2</t>
  </si>
  <si>
    <t>T3</t>
  </si>
  <si>
    <t>Omega</t>
  </si>
  <si>
    <t>RIAA</t>
  </si>
  <si>
    <t>Premphasis</t>
  </si>
  <si>
    <t>gain</t>
  </si>
  <si>
    <t>phase</t>
  </si>
  <si>
    <t>real</t>
  </si>
  <si>
    <t>imag</t>
  </si>
  <si>
    <t>JSON text for setup description file</t>
  </si>
  <si>
    <t>scale</t>
  </si>
  <si>
    <t>factor</t>
  </si>
  <si>
    <t>scaled</t>
  </si>
  <si>
    <t>request</t>
  </si>
  <si>
    <t>frequency</t>
  </si>
  <si>
    <t>matrix</t>
  </si>
  <si>
    <t>Request</t>
  </si>
  <si>
    <t>elem</t>
  </si>
  <si>
    <t>cal</t>
  </si>
  <si>
    <t>]</t>
  </si>
  <si>
    <t>[{"skip":"Frequency sweep with RIAA preemphasis."}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</si>
</sst>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Font="1"/>
    <xf numFmtId="11" fontId="0" fillId="0" borderId="0" xfId="0" applyNumberFormat="1"/>
    <xf numFmtId="0" fontId="1" fillId="0" borderId="0" xfId="0" applyFont="1"/>
    <xf numFmtId="164" fontId="0" fillId="0" borderId="0" xfId="0" applyNumberFormat="1"/>
    <xf numFmtId="0" fontId="0" fillId="0" borderId="0" xfId="0" quotePrefix="1"/>
    <xf numFmtId="0" fontId="0" fillId="0" borderId="0" xfId="0" quotePrefix="1" applyFont="1"/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Gain</c:v>
          </c:tx>
          <c:xVal>
            <c:numRef>
              <c:f>Premphasis!$B$10:$B$40</c:f>
              <c:numCache>
                <c:formatCode>General</c:formatCode>
                <c:ptCount val="31"/>
                <c:pt idx="0">
                  <c:v>16.001451</c:v>
                </c:pt>
                <c:pt idx="1">
                  <c:v>20.143118</c:v>
                </c:pt>
                <c:pt idx="2">
                  <c:v>25.362768</c:v>
                </c:pt>
                <c:pt idx="3">
                  <c:v>31.929302</c:v>
                </c:pt>
                <c:pt idx="4">
                  <c:v>40.195312</c:v>
                </c:pt>
                <c:pt idx="5">
                  <c:v>50.597405</c:v>
                </c:pt>
                <c:pt idx="6">
                  <c:v>63.69847</c:v>
                </c:pt>
                <c:pt idx="7">
                  <c:v>80.201261</c:v>
                </c:pt>
                <c:pt idx="8">
                  <c:v>100.968027</c:v>
                </c:pt>
                <c:pt idx="9">
                  <c:v>127.10439</c:v>
                </c:pt>
                <c:pt idx="10">
                  <c:v>160.007022</c:v>
                </c:pt>
                <c:pt idx="11">
                  <c:v>201.456349</c:v>
                </c:pt>
                <c:pt idx="12">
                  <c:v>253.585211</c:v>
                </c:pt>
                <c:pt idx="13">
                  <c:v>319.290075</c:v>
                </c:pt>
                <c:pt idx="14">
                  <c:v>401.94414</c:v>
                </c:pt>
                <c:pt idx="15">
                  <c:v>506.015299</c:v>
                </c:pt>
                <c:pt idx="16">
                  <c:v>636.97723</c:v>
                </c:pt>
                <c:pt idx="17">
                  <c:v>801.911445</c:v>
                </c:pt>
                <c:pt idx="18">
                  <c:v>1009.546788</c:v>
                </c:pt>
                <c:pt idx="19">
                  <c:v>1271.06546</c:v>
                </c:pt>
                <c:pt idx="20">
                  <c:v>1600.019278</c:v>
                </c:pt>
                <c:pt idx="21">
                  <c:v>2014.313892</c:v>
                </c:pt>
                <c:pt idx="22">
                  <c:v>2536.107678</c:v>
                </c:pt>
                <c:pt idx="23">
                  <c:v>3192.521598</c:v>
                </c:pt>
                <c:pt idx="24">
                  <c:v>4019.460315</c:v>
                </c:pt>
                <c:pt idx="25">
                  <c:v>5059.790831</c:v>
                </c:pt>
                <c:pt idx="26">
                  <c:v>6369.735421</c:v>
                </c:pt>
                <c:pt idx="27">
                  <c:v>8019.263685</c:v>
                </c:pt>
                <c:pt idx="28">
                  <c:v>10096.471541</c:v>
                </c:pt>
                <c:pt idx="29">
                  <c:v>12710.556156</c:v>
                </c:pt>
                <c:pt idx="30">
                  <c:v>16000.960204</c:v>
                </c:pt>
              </c:numCache>
            </c:numRef>
          </c:xVal>
          <c:yVal>
            <c:numRef>
              <c:f>Premphasis!$E$10:$E$40</c:f>
              <c:numCache>
                <c:formatCode>General</c:formatCode>
                <c:ptCount val="31"/>
                <c:pt idx="0">
                  <c:v>1.049359962973511</c:v>
                </c:pt>
                <c:pt idx="1">
                  <c:v>1.077129331102417</c:v>
                </c:pt>
                <c:pt idx="2">
                  <c:v>1.119717381869065</c:v>
                </c:pt>
                <c:pt idx="3">
                  <c:v>1.183897169240587</c:v>
                </c:pt>
                <c:pt idx="4">
                  <c:v>1.278691333738521</c:v>
                </c:pt>
                <c:pt idx="5">
                  <c:v>1.415177308520102</c:v>
                </c:pt>
                <c:pt idx="6">
                  <c:v>1.606362870093262</c:v>
                </c:pt>
                <c:pt idx="7">
                  <c:v>1.866422449889731</c:v>
                </c:pt>
                <c:pt idx="8">
                  <c:v>2.209669859279702</c:v>
                </c:pt>
                <c:pt idx="9">
                  <c:v>2.650165690712894</c:v>
                </c:pt>
                <c:pt idx="10">
                  <c:v>3.199735912392041</c:v>
                </c:pt>
                <c:pt idx="11">
                  <c:v>3.864860777383162</c:v>
                </c:pt>
                <c:pt idx="12">
                  <c:v>4.639682633931095</c:v>
                </c:pt>
                <c:pt idx="13">
                  <c:v>5.505272416470958</c:v>
                </c:pt>
                <c:pt idx="14">
                  <c:v>6.42225438211418</c:v>
                </c:pt>
                <c:pt idx="15">
                  <c:v>7.344800187383018</c:v>
                </c:pt>
                <c:pt idx="16">
                  <c:v>8.2350558883743</c:v>
                </c:pt>
                <c:pt idx="17">
                  <c:v>9.08650475602145</c:v>
                </c:pt>
                <c:pt idx="18">
                  <c:v>9.933829784553327</c:v>
                </c:pt>
                <c:pt idx="19">
                  <c:v>10.85452195769073</c:v>
                </c:pt>
                <c:pt idx="20">
                  <c:v>11.9587186557025</c:v>
                </c:pt>
                <c:pt idx="21">
                  <c:v>13.38504349773117</c:v>
                </c:pt>
                <c:pt idx="22">
                  <c:v>15.29110725691467</c:v>
                </c:pt>
                <c:pt idx="23">
                  <c:v>17.84893880875197</c:v>
                </c:pt>
                <c:pt idx="24">
                  <c:v>21.25645988231647</c:v>
                </c:pt>
                <c:pt idx="25">
                  <c:v>25.73148684947935</c:v>
                </c:pt>
                <c:pt idx="26">
                  <c:v>31.54235297577177</c:v>
                </c:pt>
                <c:pt idx="27">
                  <c:v>39.01546063736035</c:v>
                </c:pt>
                <c:pt idx="28">
                  <c:v>48.55901311629449</c:v>
                </c:pt>
                <c:pt idx="29">
                  <c:v>60.67956145603944</c:v>
                </c:pt>
                <c:pt idx="30">
                  <c:v>76.02615507177434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2063896"/>
        <c:axId val="-2142065320"/>
      </c:scatterChart>
      <c:scatterChart>
        <c:scatterStyle val="lineMarker"/>
        <c:varyColors val="0"/>
        <c:ser>
          <c:idx val="1"/>
          <c:order val="1"/>
          <c:tx>
            <c:v>Phase (rad)</c:v>
          </c:tx>
          <c:xVal>
            <c:numRef>
              <c:f>Premphasis!$B$10:$B$40</c:f>
              <c:numCache>
                <c:formatCode>General</c:formatCode>
                <c:ptCount val="31"/>
                <c:pt idx="0">
                  <c:v>16.001451</c:v>
                </c:pt>
                <c:pt idx="1">
                  <c:v>20.143118</c:v>
                </c:pt>
                <c:pt idx="2">
                  <c:v>25.362768</c:v>
                </c:pt>
                <c:pt idx="3">
                  <c:v>31.929302</c:v>
                </c:pt>
                <c:pt idx="4">
                  <c:v>40.195312</c:v>
                </c:pt>
                <c:pt idx="5">
                  <c:v>50.597405</c:v>
                </c:pt>
                <c:pt idx="6">
                  <c:v>63.69847</c:v>
                </c:pt>
                <c:pt idx="7">
                  <c:v>80.201261</c:v>
                </c:pt>
                <c:pt idx="8">
                  <c:v>100.968027</c:v>
                </c:pt>
                <c:pt idx="9">
                  <c:v>127.10439</c:v>
                </c:pt>
                <c:pt idx="10">
                  <c:v>160.007022</c:v>
                </c:pt>
                <c:pt idx="11">
                  <c:v>201.456349</c:v>
                </c:pt>
                <c:pt idx="12">
                  <c:v>253.585211</c:v>
                </c:pt>
                <c:pt idx="13">
                  <c:v>319.290075</c:v>
                </c:pt>
                <c:pt idx="14">
                  <c:v>401.94414</c:v>
                </c:pt>
                <c:pt idx="15">
                  <c:v>506.015299</c:v>
                </c:pt>
                <c:pt idx="16">
                  <c:v>636.97723</c:v>
                </c:pt>
                <c:pt idx="17">
                  <c:v>801.911445</c:v>
                </c:pt>
                <c:pt idx="18">
                  <c:v>1009.546788</c:v>
                </c:pt>
                <c:pt idx="19">
                  <c:v>1271.06546</c:v>
                </c:pt>
                <c:pt idx="20">
                  <c:v>1600.019278</c:v>
                </c:pt>
                <c:pt idx="21">
                  <c:v>2014.313892</c:v>
                </c:pt>
                <c:pt idx="22">
                  <c:v>2536.107678</c:v>
                </c:pt>
                <c:pt idx="23">
                  <c:v>3192.521598</c:v>
                </c:pt>
                <c:pt idx="24">
                  <c:v>4019.460315</c:v>
                </c:pt>
                <c:pt idx="25">
                  <c:v>5059.790831</c:v>
                </c:pt>
                <c:pt idx="26">
                  <c:v>6369.735421</c:v>
                </c:pt>
                <c:pt idx="27">
                  <c:v>8019.263685</c:v>
                </c:pt>
                <c:pt idx="28">
                  <c:v>10096.471541</c:v>
                </c:pt>
                <c:pt idx="29">
                  <c:v>12710.556156</c:v>
                </c:pt>
                <c:pt idx="30">
                  <c:v>16000.960204</c:v>
                </c:pt>
              </c:numCache>
            </c:numRef>
          </c:xVal>
          <c:yVal>
            <c:numRef>
              <c:f>Premphasis!$F$10:$F$40</c:f>
              <c:numCache>
                <c:formatCode>General</c:formatCode>
                <c:ptCount val="31"/>
                <c:pt idx="0">
                  <c:v>0.285026132622953</c:v>
                </c:pt>
                <c:pt idx="1">
                  <c:v>0.351900638647561</c:v>
                </c:pt>
                <c:pt idx="2">
                  <c:v>0.430360703360554</c:v>
                </c:pt>
                <c:pt idx="3">
                  <c:v>0.519202823355547</c:v>
                </c:pt>
                <c:pt idx="4">
                  <c:v>0.615441658663506</c:v>
                </c:pt>
                <c:pt idx="5">
                  <c:v>0.713934668118762</c:v>
                </c:pt>
                <c:pt idx="6">
                  <c:v>0.808243678661575</c:v>
                </c:pt>
                <c:pt idx="7">
                  <c:v>0.891768787326621</c:v>
                </c:pt>
                <c:pt idx="8">
                  <c:v>0.959080236396151</c:v>
                </c:pt>
                <c:pt idx="9">
                  <c:v>1.006801732082305</c:v>
                </c:pt>
                <c:pt idx="10">
                  <c:v>1.03347262133938</c:v>
                </c:pt>
                <c:pt idx="11">
                  <c:v>1.039264654609885</c:v>
                </c:pt>
                <c:pt idx="12">
                  <c:v>1.025896709749875</c:v>
                </c:pt>
                <c:pt idx="13">
                  <c:v>0.9967896356222</c:v>
                </c:pt>
                <c:pt idx="14">
                  <c:v>0.957479629670637</c:v>
                </c:pt>
                <c:pt idx="15">
                  <c:v>0.91540174746346</c:v>
                </c:pt>
                <c:pt idx="16">
                  <c:v>0.879174407014817</c:v>
                </c:pt>
                <c:pt idx="17">
                  <c:v>0.856937358470086</c:v>
                </c:pt>
                <c:pt idx="18">
                  <c:v>0.854760539273792</c:v>
                </c:pt>
                <c:pt idx="19">
                  <c:v>0.875421176707349</c:v>
                </c:pt>
                <c:pt idx="20">
                  <c:v>0.917939629374878</c:v>
                </c:pt>
                <c:pt idx="21">
                  <c:v>0.978046574483683</c:v>
                </c:pt>
                <c:pt idx="22">
                  <c:v>1.0491593117597</c:v>
                </c:pt>
                <c:pt idx="23">
                  <c:v>1.123984586921672</c:v>
                </c:pt>
                <c:pt idx="24">
                  <c:v>1.196468613083933</c:v>
                </c:pt>
                <c:pt idx="25">
                  <c:v>1.26238297388514</c:v>
                </c:pt>
                <c:pt idx="26">
                  <c:v>1.31976688364807</c:v>
                </c:pt>
                <c:pt idx="27">
                  <c:v>1.368193520925308</c:v>
                </c:pt>
                <c:pt idx="28">
                  <c:v>1.408205692792727</c:v>
                </c:pt>
                <c:pt idx="29">
                  <c:v>1.440786868302931</c:v>
                </c:pt>
                <c:pt idx="30">
                  <c:v>1.467085126731484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371352"/>
        <c:axId val="-2146716440"/>
      </c:scatterChart>
      <c:valAx>
        <c:axId val="-2142063896"/>
        <c:scaling>
          <c:logBase val="10.0"/>
          <c:orientation val="minMax"/>
          <c:max val="16000.0"/>
          <c:min val="16.0"/>
        </c:scaling>
        <c:delete val="0"/>
        <c:axPos val="b"/>
        <c:majorGridlines/>
        <c:minorGridlines/>
        <c:numFmt formatCode="General" sourceLinked="1"/>
        <c:majorTickMark val="out"/>
        <c:minorTickMark val="none"/>
        <c:tickLblPos val="nextTo"/>
        <c:crossAx val="-2142065320"/>
        <c:crosses val="autoZero"/>
        <c:crossBetween val="midCat"/>
      </c:valAx>
      <c:valAx>
        <c:axId val="-2142065320"/>
        <c:scaling>
          <c:logBase val="10.0"/>
          <c:orientation val="minMax"/>
          <c:min val="1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42063896"/>
        <c:crosses val="autoZero"/>
        <c:crossBetween val="midCat"/>
      </c:valAx>
      <c:valAx>
        <c:axId val="-2146716440"/>
        <c:scaling>
          <c:orientation val="minMax"/>
          <c:max val="2.0"/>
          <c:min val="-2.0"/>
        </c:scaling>
        <c:delete val="0"/>
        <c:axPos val="r"/>
        <c:numFmt formatCode="General" sourceLinked="1"/>
        <c:majorTickMark val="out"/>
        <c:minorTickMark val="none"/>
        <c:tickLblPos val="nextTo"/>
        <c:crossAx val="2138371352"/>
        <c:crosses val="max"/>
        <c:crossBetween val="midCat"/>
      </c:valAx>
      <c:valAx>
        <c:axId val="2138371352"/>
        <c:scaling>
          <c:logBase val="10.0"/>
          <c:orientation val="minMax"/>
          <c:max val="16000.0"/>
          <c:min val="16.0"/>
        </c:scaling>
        <c:delete val="0"/>
        <c:axPos val="t"/>
        <c:numFmt formatCode="General" sourceLinked="1"/>
        <c:majorTickMark val="out"/>
        <c:minorTickMark val="none"/>
        <c:tickLblPos val="nextTo"/>
        <c:crossAx val="-2146716440"/>
        <c:crosses val="max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88900</xdr:colOff>
      <xdr:row>12</xdr:row>
      <xdr:rowOff>165100</xdr:rowOff>
    </xdr:from>
    <xdr:to>
      <xdr:col>7</xdr:col>
      <xdr:colOff>660400</xdr:colOff>
      <xdr:row>36</xdr:row>
      <xdr:rowOff>63500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41"/>
  <sheetViews>
    <sheetView tabSelected="1" topLeftCell="B1" workbookViewId="0">
      <selection activeCell="N10" sqref="N10:N40"/>
    </sheetView>
  </sheetViews>
  <sheetFormatPr baseColWidth="10" defaultRowHeight="15" x14ac:dyDescent="0"/>
  <cols>
    <col min="1" max="1" width="16.6640625" customWidth="1"/>
    <col min="11" max="11" width="11.1640625" customWidth="1"/>
    <col min="12" max="12" width="8.33203125" customWidth="1"/>
    <col min="13" max="13" width="11.33203125" customWidth="1"/>
    <col min="14" max="14" width="123" customWidth="1"/>
  </cols>
  <sheetData>
    <row r="3" spans="1:14">
      <c r="B3" s="3" t="s">
        <v>2</v>
      </c>
      <c r="C3" s="2">
        <v>3.1800000000000001E-3</v>
      </c>
    </row>
    <row r="4" spans="1:14">
      <c r="B4" s="3" t="s">
        <v>3</v>
      </c>
      <c r="C4" s="2">
        <v>3.1799999999999998E-4</v>
      </c>
    </row>
    <row r="5" spans="1:14">
      <c r="B5" s="3" t="s">
        <v>4</v>
      </c>
      <c r="C5" s="2">
        <v>7.4999999999999993E-5</v>
      </c>
      <c r="I5" s="3" t="s">
        <v>13</v>
      </c>
    </row>
    <row r="6" spans="1:14">
      <c r="I6" s="3" t="s">
        <v>14</v>
      </c>
      <c r="J6">
        <f>1/800</f>
        <v>1.25E-3</v>
      </c>
    </row>
    <row r="8" spans="1:14" s="3" customFormat="1">
      <c r="A8" s="3" t="s">
        <v>19</v>
      </c>
      <c r="B8" s="3" t="s">
        <v>0</v>
      </c>
      <c r="D8" s="3" t="s">
        <v>6</v>
      </c>
      <c r="I8" s="3" t="s">
        <v>15</v>
      </c>
      <c r="J8" s="3" t="s">
        <v>15</v>
      </c>
      <c r="K8" s="3" t="s">
        <v>16</v>
      </c>
      <c r="L8" s="3" t="s">
        <v>21</v>
      </c>
      <c r="M8" s="3" t="s">
        <v>21</v>
      </c>
      <c r="N8" s="3" t="s">
        <v>12</v>
      </c>
    </row>
    <row r="9" spans="1:14" s="3" customFormat="1">
      <c r="A9" s="3" t="s">
        <v>1</v>
      </c>
      <c r="B9" s="3" t="s">
        <v>1</v>
      </c>
      <c r="C9" s="3" t="s">
        <v>5</v>
      </c>
      <c r="D9" s="3" t="s">
        <v>7</v>
      </c>
      <c r="E9" s="3" t="s">
        <v>8</v>
      </c>
      <c r="F9" s="3" t="s">
        <v>9</v>
      </c>
      <c r="G9" s="3" t="s">
        <v>10</v>
      </c>
      <c r="H9" s="3" t="s">
        <v>11</v>
      </c>
      <c r="I9" s="3" t="s">
        <v>10</v>
      </c>
      <c r="J9" s="3" t="s">
        <v>11</v>
      </c>
      <c r="K9" s="3" t="s">
        <v>17</v>
      </c>
      <c r="L9" s="3" t="s">
        <v>20</v>
      </c>
      <c r="M9" s="3" t="s">
        <v>18</v>
      </c>
      <c r="N9" s="6" t="s">
        <v>23</v>
      </c>
    </row>
    <row r="10" spans="1:14">
      <c r="A10" s="4">
        <v>16</v>
      </c>
      <c r="B10" s="1">
        <v>16.001450999999999</v>
      </c>
      <c r="C10" t="str">
        <f>COMPLEX(0, 2*PI()*B10)</f>
        <v>100.540081816754i</v>
      </c>
      <c r="D10" t="str">
        <f>IMDIV(IMPRODUCT(IMSUM(1,IMPRODUCT(_t1,C10)),IMSUM(1,IMPRODUCT(_t3,C10))),IMSUM(1,IMPRODUCT(_t2,C10)))</f>
        <v>1.00702280590766+0.295061688928996i</v>
      </c>
      <c r="E10">
        <f>IMABS(D10)</f>
        <v>1.0493599629735111</v>
      </c>
      <c r="F10">
        <f>IMARGUMENT(D10)</f>
        <v>0.28502613262295279</v>
      </c>
      <c r="G10">
        <f>IMREAL(D10)</f>
        <v>1.00702280590766</v>
      </c>
      <c r="H10">
        <f>IMAGINARY(D10)</f>
        <v>0.29506168892899598</v>
      </c>
      <c r="I10">
        <f>_scale*G10</f>
        <v>1.258778507384575E-3</v>
      </c>
      <c r="J10">
        <f>_scale*H10</f>
        <v>3.6882711116124499E-4</v>
      </c>
      <c r="K10" t="str">
        <f>CONCATENATE("""requestFreq"":",A10)</f>
        <v>"requestFreq":16</v>
      </c>
      <c r="L10" t="str">
        <f>CONCATENATE("[",I10,",",J10,"]")</f>
        <v>[0.00125877850738458,0.000368827111161245]</v>
      </c>
      <c r="M10" t="str">
        <f>CONCATENATE("""calMatrix"":[[",L10,",[0,0]],[[0,0],",L10,"]]")</f>
        <v>"calMatrix":[[[0.00125877850738458,0.000368827111161245],[0,0]],[[0,0],[0.00125877850738458,0.000368827111161245]]]</v>
      </c>
      <c r="N10" t="str">
        <f>CONCATENATE(",{",K10,",",M10,"}")</f>
        <v>,{"requestFreq":16,"calMatrix":[[[0.00125877850738458,0.000368827111161245],[0,0]],[[0,0],[0.00125877850738458,0.000368827111161245]]]}</v>
      </c>
    </row>
    <row r="11" spans="1:14">
      <c r="A11" s="4">
        <v>20.142806588706677</v>
      </c>
      <c r="B11" s="1">
        <v>20.143118000000001</v>
      </c>
      <c r="C11" t="str">
        <f t="shared" ref="C11:C40" si="0">COMPLEX(0, 2*PI()*B11)</f>
        <v>126.562943058385i</v>
      </c>
      <c r="D11" t="str">
        <f>IMDIV(IMPRODUCT(IMSUM(1,IMPRODUCT(_t1,C11)),IMSUM(1,IMPRODUCT(_t3,C11))),IMSUM(1,IMPRODUCT(_t2,C11)))</f>
        <v>1.01112208276979+0.371267733120483i</v>
      </c>
      <c r="E11">
        <f t="shared" ref="E11:E40" si="1">IMABS(D11)</f>
        <v>1.077129331102417</v>
      </c>
      <c r="F11">
        <f t="shared" ref="F11:F40" si="2">IMARGUMENT(D11)</f>
        <v>0.35190063864756083</v>
      </c>
      <c r="G11">
        <f t="shared" ref="G11:G40" si="3">IMREAL(D11)</f>
        <v>1.01112208276979</v>
      </c>
      <c r="H11">
        <f t="shared" ref="H11:H40" si="4">IMAGINARY(D11)</f>
        <v>0.371267733120483</v>
      </c>
      <c r="I11">
        <f>_scale*G11</f>
        <v>1.2639026034622376E-3</v>
      </c>
      <c r="J11">
        <f>_scale*H11</f>
        <v>4.6408466640060378E-4</v>
      </c>
      <c r="K11" t="str">
        <f t="shared" ref="K11:K40" si="5">CONCATENATE("""requestFreq"":",A11)</f>
        <v>"requestFreq":20.1428065887067</v>
      </c>
      <c r="L11" t="str">
        <f t="shared" ref="L11:L40" si="6">CONCATENATE("[",I11,",",J11,"]")</f>
        <v>[0.00126390260346224,0.000464084666400604]</v>
      </c>
      <c r="M11" t="str">
        <f t="shared" ref="M11:M40" si="7">CONCATENATE("""calMatrix"":[[",L11,",[0,0]],[[0,0],",L11,"]]")</f>
        <v>"calMatrix":[[[0.00126390260346224,0.000464084666400604],[0,0]],[[0,0],[0.00126390260346224,0.000464084666400604]]]</v>
      </c>
      <c r="N11" t="str">
        <f t="shared" ref="N11:N40" si="8">CONCATENATE(",{",K11,",",M11,"}")</f>
        <v>,{"requestFreq":20.1428065887067,"calMatrix":[[[0.00126390260346224,0.000464084666400604],[0,0]],[[0,0],[0.00126390260346224,0.000464084666400604]]]}</v>
      </c>
    </row>
    <row r="12" spans="1:14">
      <c r="A12" s="4">
        <v>25.358291079377818</v>
      </c>
      <c r="B12" s="1">
        <v>25.362767999999999</v>
      </c>
      <c r="C12" t="str">
        <f t="shared" si="0"/>
        <v>159.358971247005i</v>
      </c>
      <c r="D12" t="str">
        <f>IMDIV(IMPRODUCT(IMSUM(1,IMPRODUCT(_t1,C12)),IMSUM(1,IMPRODUCT(_t3,C12))),IMSUM(1,IMPRODUCT(_t2,C12)))</f>
        <v>1.01761631502093+0.467144571479684i</v>
      </c>
      <c r="E12">
        <f t="shared" si="1"/>
        <v>1.1197173818690653</v>
      </c>
      <c r="F12">
        <f t="shared" si="2"/>
        <v>0.43036070336055354</v>
      </c>
      <c r="G12">
        <f t="shared" si="3"/>
        <v>1.0176163150209301</v>
      </c>
      <c r="H12">
        <f t="shared" si="4"/>
        <v>0.46714457147968402</v>
      </c>
      <c r="I12">
        <f>_scale*G12</f>
        <v>1.2720203937761627E-3</v>
      </c>
      <c r="J12">
        <f>_scale*H12</f>
        <v>5.8393071434960505E-4</v>
      </c>
      <c r="K12" t="str">
        <f t="shared" si="5"/>
        <v>"requestFreq":25.3582910793778</v>
      </c>
      <c r="L12" t="str">
        <f t="shared" si="6"/>
        <v>[0.00127202039377616,0.000583930714349605]</v>
      </c>
      <c r="M12" t="str">
        <f t="shared" si="7"/>
        <v>"calMatrix":[[[0.00127202039377616,0.000583930714349605],[0,0]],[[0,0],[0.00127202039377616,0.000583930714349605]]]</v>
      </c>
      <c r="N12" t="str">
        <f t="shared" si="8"/>
        <v>,{"requestFreq":25.3582910793778,"calMatrix":[[[0.00127202039377616,0.000583930714349605],[0,0]],[[0,0],[0.00127202039377616,0.000583930714349605]]]}</v>
      </c>
    </row>
    <row r="13" spans="1:14">
      <c r="A13" s="4">
        <v>31.924197039502079</v>
      </c>
      <c r="B13" s="1">
        <v>31.929302</v>
      </c>
      <c r="C13" t="str">
        <f t="shared" si="0"/>
        <v>200.6177211949i</v>
      </c>
      <c r="D13" t="str">
        <f>IMDIV(IMPRODUCT(IMSUM(1,IMPRODUCT(_t1,C13)),IMSUM(1,IMPRODUCT(_t3,C13))),IMSUM(1,IMPRODUCT(_t2,C13)))</f>
        <v>1.02787728686706+0.587435775620353i</v>
      </c>
      <c r="E13">
        <f t="shared" si="1"/>
        <v>1.1838971692405866</v>
      </c>
      <c r="F13">
        <f t="shared" si="2"/>
        <v>0.51920282335554735</v>
      </c>
      <c r="G13">
        <f t="shared" si="3"/>
        <v>1.02787728686706</v>
      </c>
      <c r="H13">
        <f t="shared" si="4"/>
        <v>0.58743577562035298</v>
      </c>
      <c r="I13">
        <f>_scale*G13</f>
        <v>1.2848466085838251E-3</v>
      </c>
      <c r="J13">
        <f>_scale*H13</f>
        <v>7.3429471952544121E-4</v>
      </c>
      <c r="K13" t="str">
        <f t="shared" si="5"/>
        <v>"requestFreq":31.9241970395021</v>
      </c>
      <c r="L13" t="str">
        <f t="shared" si="6"/>
        <v>[0.00128484660858383,0.000734294719525441]</v>
      </c>
      <c r="M13" t="str">
        <f t="shared" si="7"/>
        <v>"calMatrix":[[[0.00128484660858383,0.000734294719525441],[0,0]],[[0,0],[0.00128484660858383,0.000734294719525441]]]</v>
      </c>
      <c r="N13" t="str">
        <f t="shared" si="8"/>
        <v>,{"requestFreq":31.9241970395021,"calMatrix":[[[0.00128484660858383,0.000734294719525441],[0,0]],[[0,0],[0.00128484660858383,0.000734294719525441]]]}</v>
      </c>
    </row>
    <row r="14" spans="1:14">
      <c r="A14" s="4">
        <v>40.190182904153289</v>
      </c>
      <c r="B14" s="1">
        <v>40.195312000000001</v>
      </c>
      <c r="C14" t="str">
        <f t="shared" si="0"/>
        <v>252.554593775899i</v>
      </c>
      <c r="D14" t="str">
        <f>IMDIV(IMPRODUCT(IMSUM(1,IMPRODUCT(_t1,C14)),IMSUM(1,IMPRODUCT(_t3,C14))),IMSUM(1,IMPRODUCT(_t2,C14)))</f>
        <v>1.0440751918272+0.738213059210546i</v>
      </c>
      <c r="E14">
        <f t="shared" si="1"/>
        <v>1.2786913337385211</v>
      </c>
      <c r="F14">
        <f t="shared" si="2"/>
        <v>0.61544165866350586</v>
      </c>
      <c r="G14">
        <f t="shared" si="3"/>
        <v>1.0440751918272</v>
      </c>
      <c r="H14">
        <f t="shared" si="4"/>
        <v>0.73821305921054603</v>
      </c>
      <c r="I14">
        <f>_scale*G14</f>
        <v>1.305093989784E-3</v>
      </c>
      <c r="J14">
        <f>_scale*H14</f>
        <v>9.227663240131826E-4</v>
      </c>
      <c r="K14" t="str">
        <f t="shared" si="5"/>
        <v>"requestFreq":40.1901829041533</v>
      </c>
      <c r="L14" t="str">
        <f t="shared" si="6"/>
        <v>[0.001305093989784,0.000922766324013183]</v>
      </c>
      <c r="M14" t="str">
        <f t="shared" si="7"/>
        <v>"calMatrix":[[[0.001305093989784,0.000922766324013183],[0,0]],[[0,0],[0.001305093989784,0.000922766324013183]]]</v>
      </c>
      <c r="N14" t="str">
        <f t="shared" si="8"/>
        <v>,{"requestFreq":40.1901829041533,"calMatrix":[[[0.001305093989784,0.000922766324013183],[0,0]],[[0,0],[0.001305093989784,0.000922766324013183]]]}</v>
      </c>
    </row>
    <row r="15" spans="1:14">
      <c r="A15" s="4">
        <v>50.596442562694079</v>
      </c>
      <c r="B15" s="1">
        <v>50.597405000000002</v>
      </c>
      <c r="C15" t="str">
        <f t="shared" si="0"/>
        <v>317.912871677415i</v>
      </c>
      <c r="D15" t="str">
        <f>IMDIV(IMPRODUCT(IMSUM(1,IMPRODUCT(_t1,C15)),IMSUM(1,IMPRODUCT(_t3,C15))),IMSUM(1,IMPRODUCT(_t2,C15)))</f>
        <v>1.06957864498707+0.926675961022958i</v>
      </c>
      <c r="E15">
        <f t="shared" si="1"/>
        <v>1.4151773085201018</v>
      </c>
      <c r="F15">
        <f t="shared" si="2"/>
        <v>0.71393466811876172</v>
      </c>
      <c r="G15">
        <f t="shared" si="3"/>
        <v>1.0695786449870699</v>
      </c>
      <c r="H15">
        <f t="shared" si="4"/>
        <v>0.92667596102295802</v>
      </c>
      <c r="I15">
        <f>_scale*G15</f>
        <v>1.3369733062338373E-3</v>
      </c>
      <c r="J15">
        <f>_scale*H15</f>
        <v>1.1583449512786975E-3</v>
      </c>
      <c r="K15" t="str">
        <f t="shared" si="5"/>
        <v>"requestFreq":50.5964425626941</v>
      </c>
      <c r="L15" t="str">
        <f t="shared" si="6"/>
        <v>[0.00133697330623384,0.0011583449512787]</v>
      </c>
      <c r="M15" t="str">
        <f t="shared" si="7"/>
        <v>"calMatrix":[[[0.00133697330623384,0.0011583449512787],[0,0]],[[0,0],[0.00133697330623384,0.0011583449512787]]]</v>
      </c>
      <c r="N15" t="str">
        <f t="shared" si="8"/>
        <v>,{"requestFreq":50.5964425626941,"calMatrix":[[[0.00133697330623384,0.0011583449512787],[0,0]],[[0,0],[0.00133697330623384,0.0011583449512787]]]}</v>
      </c>
    </row>
    <row r="16" spans="1:14">
      <c r="A16" s="4">
        <v>63.697147288559577</v>
      </c>
      <c r="B16" s="1">
        <v>63.69847</v>
      </c>
      <c r="C16" t="str">
        <f t="shared" si="0"/>
        <v>400.22929079382i</v>
      </c>
      <c r="D16" t="str">
        <f>IMDIV(IMPRODUCT(IMSUM(1,IMPRODUCT(_t1,C16)),IMSUM(1,IMPRODUCT(_t3,C16))),IMSUM(1,IMPRODUCT(_t2,C16)))</f>
        <v>1.10962639608488+1.16152095612862i</v>
      </c>
      <c r="E16">
        <f t="shared" si="1"/>
        <v>1.6063628700932622</v>
      </c>
      <c r="F16">
        <f t="shared" si="2"/>
        <v>0.80824367866157465</v>
      </c>
      <c r="G16">
        <f t="shared" si="3"/>
        <v>1.10962639608488</v>
      </c>
      <c r="H16">
        <f t="shared" si="4"/>
        <v>1.1615209561286199</v>
      </c>
      <c r="I16">
        <f>_scale*G16</f>
        <v>1.3870329951061E-3</v>
      </c>
      <c r="J16">
        <f>_scale*H16</f>
        <v>1.4519011951607749E-3</v>
      </c>
      <c r="K16" t="str">
        <f t="shared" si="5"/>
        <v>"requestFreq":63.6971472885596</v>
      </c>
      <c r="L16" t="str">
        <f t="shared" si="6"/>
        <v>[0.0013870329951061,0.00145190119516077]</v>
      </c>
      <c r="M16" t="str">
        <f t="shared" si="7"/>
        <v>"calMatrix":[[[0.0013870329951061,0.00145190119516077],[0,0]],[[0,0],[0.0013870329951061,0.00145190119516077]]]</v>
      </c>
      <c r="N16" t="str">
        <f t="shared" si="8"/>
        <v>,{"requestFreq":63.6971472885596,"calMatrix":[[[0.0013870329951061,0.00145190119516077],[0,0]],[[0,0],[0.0013870329951061,0.00145190119516077]]]}</v>
      </c>
    </row>
    <row r="17" spans="1:14">
      <c r="A17" s="4">
        <v>80.189957380363595</v>
      </c>
      <c r="B17" s="1">
        <v>80.201261000000002</v>
      </c>
      <c r="C17" t="str">
        <f t="shared" si="0"/>
        <v>503.919384732475i</v>
      </c>
      <c r="D17" t="str">
        <f>IMDIV(IMPRODUCT(IMSUM(1,IMPRODUCT(_t1,C17)),IMSUM(1,IMPRODUCT(_t3,C17))),IMSUM(1,IMPRODUCT(_t2,C17)))</f>
        <v>1.1721815499412+1.45241976557393i</v>
      </c>
      <c r="E17">
        <f t="shared" si="1"/>
        <v>1.8664224498897306</v>
      </c>
      <c r="F17">
        <f t="shared" si="2"/>
        <v>0.89176878732662124</v>
      </c>
      <c r="G17">
        <f t="shared" si="3"/>
        <v>1.1721815499412001</v>
      </c>
      <c r="H17">
        <f t="shared" si="4"/>
        <v>1.4524197655739299</v>
      </c>
      <c r="I17">
        <f>_scale*G17</f>
        <v>1.4652269374265002E-3</v>
      </c>
      <c r="J17">
        <f>_scale*H17</f>
        <v>1.8155247069674123E-3</v>
      </c>
      <c r="K17" t="str">
        <f t="shared" si="5"/>
        <v>"requestFreq":80.1899573803636</v>
      </c>
      <c r="L17" t="str">
        <f t="shared" si="6"/>
        <v>[0.0014652269374265,0.00181552470696741]</v>
      </c>
      <c r="M17" t="str">
        <f t="shared" si="7"/>
        <v>"calMatrix":[[[0.0014652269374265,0.00181552470696741],[0,0]],[[0,0],[0.0014652269374265,0.00181552470696741]]]</v>
      </c>
      <c r="N17" t="str">
        <f t="shared" si="8"/>
        <v>,{"requestFreq":80.1899573803636,"calMatrix":[[[0.0014652269374265,0.00181552470696741],[0,0]],[[0,0],[0.0014652269374265,0.00181552470696741]]]}</v>
      </c>
    </row>
    <row r="18" spans="1:14">
      <c r="A18" s="4">
        <v>100.95317511683096</v>
      </c>
      <c r="B18" s="1">
        <v>100.96802700000001</v>
      </c>
      <c r="C18" t="str">
        <f t="shared" si="0"/>
        <v>634.400823741312i</v>
      </c>
      <c r="D18" t="str">
        <f>IMDIV(IMPRODUCT(IMSUM(1,IMPRODUCT(_t1,C18)),IMSUM(1,IMPRODUCT(_t3,C18))),IMSUM(1,IMPRODUCT(_t2,C18)))</f>
        <v>1.26895419421588+1.808976544898i</v>
      </c>
      <c r="E18">
        <f t="shared" si="1"/>
        <v>2.2096698592797024</v>
      </c>
      <c r="F18">
        <f t="shared" si="2"/>
        <v>0.95908023639615114</v>
      </c>
      <c r="G18">
        <f t="shared" si="3"/>
        <v>1.26895419421588</v>
      </c>
      <c r="H18">
        <f t="shared" si="4"/>
        <v>1.808976544898</v>
      </c>
      <c r="I18">
        <f>_scale*G18</f>
        <v>1.5861927427698499E-3</v>
      </c>
      <c r="J18">
        <f>_scale*H18</f>
        <v>2.2612206811225E-3</v>
      </c>
      <c r="K18" t="str">
        <f t="shared" si="5"/>
        <v>"requestFreq":100.953175116831</v>
      </c>
      <c r="L18" t="str">
        <f t="shared" si="6"/>
        <v>[0.00158619274276985,0.0022612206811225]</v>
      </c>
      <c r="M18" t="str">
        <f t="shared" si="7"/>
        <v>"calMatrix":[[[0.00158619274276985,0.0022612206811225],[0,0]],[[0,0],[0.00158619274276985,0.0022612206811225]]]</v>
      </c>
      <c r="N18" t="str">
        <f t="shared" si="8"/>
        <v>,{"requestFreq":100.953175116831,"calMatrix":[[[0.00158619274276985,0.0022612206811225],[0,0]],[[0,0],[0.00158619274276985,0.0022612206811225]]]}</v>
      </c>
    </row>
    <row r="19" spans="1:14">
      <c r="A19" s="4">
        <v>127.0925175558851</v>
      </c>
      <c r="B19" s="1">
        <v>127.10439</v>
      </c>
      <c r="C19" t="str">
        <f t="shared" si="0"/>
        <v>798.620435726024i</v>
      </c>
      <c r="D19" t="str">
        <f>IMDIV(IMPRODUCT(IMSUM(1,IMPRODUCT(_t1,C19)),IMSUM(1,IMPRODUCT(_t3,C19))),IMSUM(1,IMPRODUCT(_t2,C19)))</f>
        <v>1.41668951069129+2.23972521049548i</v>
      </c>
      <c r="E19">
        <f t="shared" si="1"/>
        <v>2.6501656907128939</v>
      </c>
      <c r="F19">
        <f t="shared" si="2"/>
        <v>1.0068017320823048</v>
      </c>
      <c r="G19">
        <f t="shared" si="3"/>
        <v>1.41668951069129</v>
      </c>
      <c r="H19">
        <f t="shared" si="4"/>
        <v>2.2397252104954801</v>
      </c>
      <c r="I19">
        <f>_scale*G19</f>
        <v>1.7708618883641126E-3</v>
      </c>
      <c r="J19">
        <f>_scale*H19</f>
        <v>2.7996565131193502E-3</v>
      </c>
      <c r="K19" t="str">
        <f t="shared" si="5"/>
        <v>"requestFreq":127.092517555885</v>
      </c>
      <c r="L19" t="str">
        <f t="shared" si="6"/>
        <v>[0.00177086188836411,0.00279965651311935]</v>
      </c>
      <c r="M19" t="str">
        <f t="shared" si="7"/>
        <v>"calMatrix":[[[0.00177086188836411,0.00279965651311935],[0,0]],[[0,0],[0.00177086188836411,0.00279965651311935]]]</v>
      </c>
      <c r="N19" t="str">
        <f t="shared" si="8"/>
        <v>,{"requestFreq":127.092517555885,"calMatrix":[[[0.00177086188836411,0.00279965651311935],[0,0]],[[0,0],[0.00177086188836411,0.00279965651311935]]]}</v>
      </c>
    </row>
    <row r="20" spans="1:14">
      <c r="A20" s="4">
        <v>160.00000000000009</v>
      </c>
      <c r="B20" s="1">
        <v>160.00702200000001</v>
      </c>
      <c r="C20" t="str">
        <f t="shared" si="0"/>
        <v>1005.35376967596i</v>
      </c>
      <c r="D20" t="str">
        <f>IMDIV(IMPRODUCT(IMSUM(1,IMPRODUCT(_t1,C20)),IMSUM(1,IMPRODUCT(_t3,C20))),IMSUM(1,IMPRODUCT(_t2,C20)))</f>
        <v>1.63774858036306+2.74883420681752i</v>
      </c>
      <c r="E20">
        <f t="shared" si="1"/>
        <v>3.1997359123920406</v>
      </c>
      <c r="F20">
        <f t="shared" si="2"/>
        <v>1.0334726213393799</v>
      </c>
      <c r="G20">
        <f t="shared" si="3"/>
        <v>1.63774858036306</v>
      </c>
      <c r="H20">
        <f t="shared" si="4"/>
        <v>2.74883420681752</v>
      </c>
      <c r="I20">
        <f>_scale*G20</f>
        <v>2.047185725453825E-3</v>
      </c>
      <c r="J20">
        <f>_scale*H20</f>
        <v>3.4360427585219001E-3</v>
      </c>
      <c r="K20" t="str">
        <f t="shared" si="5"/>
        <v>"requestFreq":160</v>
      </c>
      <c r="L20" t="str">
        <f t="shared" si="6"/>
        <v>[0.00204718572545383,0.0034360427585219]</v>
      </c>
      <c r="M20" t="str">
        <f t="shared" si="7"/>
        <v>"calMatrix":[[[0.00204718572545383,0.0034360427585219],[0,0]],[[0,0],[0.00204718572545383,0.0034360427585219]]]</v>
      </c>
      <c r="N20" t="str">
        <f t="shared" si="8"/>
        <v>,{"requestFreq":160,"calMatrix":[[[0.00204718572545383,0.0034360427585219],[0,0]],[[0,0],[0.00204718572545383,0.0034360427585219]]]}</v>
      </c>
    </row>
    <row r="21" spans="1:14">
      <c r="A21" s="4">
        <v>201.42806588706688</v>
      </c>
      <c r="B21" s="1">
        <v>201.45634899999999</v>
      </c>
      <c r="C21" t="str">
        <f t="shared" si="0"/>
        <v>1265.78757207484i</v>
      </c>
      <c r="D21" t="str">
        <f>IMDIV(IMPRODUCT(IMSUM(1,IMPRODUCT(_t1,C21)),IMSUM(1,IMPRODUCT(_t3,C21))),IMSUM(1,IMPRODUCT(_t2,C21)))</f>
        <v>1.95892124704113+3.33163268930499i</v>
      </c>
      <c r="E21">
        <f t="shared" si="1"/>
        <v>3.8648607773831616</v>
      </c>
      <c r="F21">
        <f t="shared" si="2"/>
        <v>1.0392646546098849</v>
      </c>
      <c r="G21">
        <f t="shared" si="3"/>
        <v>1.9589212470411299</v>
      </c>
      <c r="H21">
        <f t="shared" si="4"/>
        <v>3.3316326893049899</v>
      </c>
      <c r="I21">
        <f>_scale*G21</f>
        <v>2.4486515588014123E-3</v>
      </c>
      <c r="J21">
        <f>_scale*H21</f>
        <v>4.1645408616312373E-3</v>
      </c>
      <c r="K21" t="str">
        <f t="shared" si="5"/>
        <v>"requestFreq":201.428065887067</v>
      </c>
      <c r="L21" t="str">
        <f t="shared" si="6"/>
        <v>[0.00244865155880141,0.00416454086163124]</v>
      </c>
      <c r="M21" t="str">
        <f t="shared" si="7"/>
        <v>"calMatrix":[[[0.00244865155880141,0.00416454086163124],[0,0]],[[0,0],[0.00244865155880141,0.00416454086163124]]]</v>
      </c>
      <c r="N21" t="str">
        <f t="shared" si="8"/>
        <v>,{"requestFreq":201.428065887067,"calMatrix":[[[0.00244865155880141,0.00416454086163124],[0,0]],[[0,0],[0.00244865155880141,0.00416454086163124]]]}</v>
      </c>
    </row>
    <row r="22" spans="1:14">
      <c r="A22" s="4">
        <v>253.58291079377832</v>
      </c>
      <c r="B22" s="1">
        <v>253.58521099999999</v>
      </c>
      <c r="C22" t="str">
        <f t="shared" si="0"/>
        <v>1593.32287187324i</v>
      </c>
      <c r="D22" t="str">
        <f>IMDIV(IMPRODUCT(IMSUM(1,IMPRODUCT(_t1,C22)),IMSUM(1,IMPRODUCT(_t3,C22))),IMSUM(1,IMPRODUCT(_t2,C22)))</f>
        <v>2.4048971282061+3.96776067150576i</v>
      </c>
      <c r="E22">
        <f t="shared" si="1"/>
        <v>4.6396826339310957</v>
      </c>
      <c r="F22">
        <f t="shared" si="2"/>
        <v>1.0258967097498752</v>
      </c>
      <c r="G22">
        <f t="shared" si="3"/>
        <v>2.4048971282061</v>
      </c>
      <c r="H22">
        <f t="shared" si="4"/>
        <v>3.9677606715057601</v>
      </c>
      <c r="I22">
        <f>_scale*G22</f>
        <v>3.0061214102576252E-3</v>
      </c>
      <c r="J22">
        <f>_scale*H22</f>
        <v>4.9597008393822001E-3</v>
      </c>
      <c r="K22" t="str">
        <f t="shared" si="5"/>
        <v>"requestFreq":253.582910793778</v>
      </c>
      <c r="L22" t="str">
        <f t="shared" si="6"/>
        <v>[0.00300612141025763,0.0049597008393822]</v>
      </c>
      <c r="M22" t="str">
        <f t="shared" si="7"/>
        <v>"calMatrix":[[[0.00300612141025763,0.0049597008393822],[0,0]],[[0,0],[0.00300612141025763,0.0049597008393822]]]</v>
      </c>
      <c r="N22" t="str">
        <f t="shared" si="8"/>
        <v>,{"requestFreq":253.582910793778,"calMatrix":[[[0.00300612141025763,0.0049597008393822],[0,0]],[[0,0],[0.00300612141025763,0.0049597008393822]]]}</v>
      </c>
    </row>
    <row r="23" spans="1:14">
      <c r="A23" s="4">
        <v>319.24197039502099</v>
      </c>
      <c r="B23" s="1">
        <v>319.290075</v>
      </c>
      <c r="C23" t="str">
        <f t="shared" si="0"/>
        <v>2006.15870796827i</v>
      </c>
      <c r="D23" t="str">
        <f>IMDIV(IMPRODUCT(IMSUM(1,IMPRODUCT(_t1,C23)),IMSUM(1,IMPRODUCT(_t3,C23))),IMSUM(1,IMPRODUCT(_t2,C23)))</f>
        <v>2.98936812687377+4.62295388053863i</v>
      </c>
      <c r="E23">
        <f t="shared" si="1"/>
        <v>5.5052724164709579</v>
      </c>
      <c r="F23">
        <f t="shared" si="2"/>
        <v>0.99678963562220024</v>
      </c>
      <c r="G23">
        <f t="shared" si="3"/>
        <v>2.98936812687377</v>
      </c>
      <c r="H23">
        <f t="shared" si="4"/>
        <v>4.6229538805386303</v>
      </c>
      <c r="I23">
        <f>_scale*G23</f>
        <v>3.7367101585922126E-3</v>
      </c>
      <c r="J23">
        <f>_scale*H23</f>
        <v>5.7786923506732884E-3</v>
      </c>
      <c r="K23" t="str">
        <f t="shared" si="5"/>
        <v>"requestFreq":319.241970395021</v>
      </c>
      <c r="L23" t="str">
        <f t="shared" si="6"/>
        <v>[0.00373671015859221,0.00577869235067329]</v>
      </c>
      <c r="M23" t="str">
        <f t="shared" si="7"/>
        <v>"calMatrix":[[[0.00373671015859221,0.00577869235067329],[0,0]],[[0,0],[0.00373671015859221,0.00577869235067329]]]</v>
      </c>
      <c r="N23" t="str">
        <f t="shared" si="8"/>
        <v>,{"requestFreq":319.241970395021,"calMatrix":[[[0.00373671015859221,0.00577869235067329],[0,0]],[[0,0],[0.00373671015859221,0.00577869235067329]]]}</v>
      </c>
    </row>
    <row r="24" spans="1:14">
      <c r="A24" s="4">
        <v>401.90182904153318</v>
      </c>
      <c r="B24" s="1">
        <v>401.94414</v>
      </c>
      <c r="C24" t="str">
        <f t="shared" si="0"/>
        <v>2525.48951475493i</v>
      </c>
      <c r="D24" t="str">
        <f>IMDIV(IMPRODUCT(IMSUM(1,IMPRODUCT(_t1,C24)),IMSUM(1,IMPRODUCT(_t3,C24))),IMSUM(1,IMPRODUCT(_t2,C24)))</f>
        <v>3.69653934218264+5.25175668136679i</v>
      </c>
      <c r="E24">
        <f t="shared" si="1"/>
        <v>6.42225438211418</v>
      </c>
      <c r="F24">
        <f t="shared" si="2"/>
        <v>0.95747962967063671</v>
      </c>
      <c r="G24">
        <f t="shared" si="3"/>
        <v>3.69653934218264</v>
      </c>
      <c r="H24">
        <f t="shared" si="4"/>
        <v>5.25175668136679</v>
      </c>
      <c r="I24">
        <f>_scale*G24</f>
        <v>4.6206741777282999E-3</v>
      </c>
      <c r="J24">
        <f>_scale*H24</f>
        <v>6.5646958517084873E-3</v>
      </c>
      <c r="K24" t="str">
        <f t="shared" si="5"/>
        <v>"requestFreq":401.901829041533</v>
      </c>
      <c r="L24" t="str">
        <f t="shared" si="6"/>
        <v>[0.0046206741777283,0.00656469585170849]</v>
      </c>
      <c r="M24" t="str">
        <f t="shared" si="7"/>
        <v>"calMatrix":[[[0.0046206741777283,0.00656469585170849],[0,0]],[[0,0],[0.0046206741777283,0.00656469585170849]]]</v>
      </c>
      <c r="N24" t="str">
        <f t="shared" si="8"/>
        <v>,{"requestFreq":401.901829041533,"calMatrix":[[[0.0046206741777283,0.00656469585170849],[0,0]],[[0,0],[0.0046206741777283,0.00656469585170849]]]}</v>
      </c>
    </row>
    <row r="25" spans="1:14">
      <c r="A25" s="4">
        <v>505.96442562694119</v>
      </c>
      <c r="B25" s="1">
        <v>506.01529900000003</v>
      </c>
      <c r="C25" t="str">
        <f t="shared" si="0"/>
        <v>3179.38789188489i</v>
      </c>
      <c r="D25" t="str">
        <f>IMDIV(IMPRODUCT(IMSUM(1,IMPRODUCT(_t1,C25)),IMSUM(1,IMPRODUCT(_t3,C25))),IMSUM(1,IMPRODUCT(_t2,C25)))</f>
        <v>4.47645091342982+5.8230127092627i</v>
      </c>
      <c r="E25">
        <f t="shared" si="1"/>
        <v>7.3448001873830178</v>
      </c>
      <c r="F25">
        <f t="shared" si="2"/>
        <v>0.91540174746346048</v>
      </c>
      <c r="G25">
        <f t="shared" si="3"/>
        <v>4.4764509134298196</v>
      </c>
      <c r="H25">
        <f t="shared" si="4"/>
        <v>5.8230127092627004</v>
      </c>
      <c r="I25">
        <f>_scale*G25</f>
        <v>5.5955636417872748E-3</v>
      </c>
      <c r="J25">
        <f>_scale*H25</f>
        <v>7.2787658865783754E-3</v>
      </c>
      <c r="K25" t="str">
        <f t="shared" si="5"/>
        <v>"requestFreq":505.964425626941</v>
      </c>
      <c r="L25" t="str">
        <f t="shared" si="6"/>
        <v>[0.00559556364178727,0.00727876588657838]</v>
      </c>
      <c r="M25" t="str">
        <f t="shared" si="7"/>
        <v>"calMatrix":[[[0.00559556364178727,0.00727876588657838],[0,0]],[[0,0],[0.00559556364178727,0.00727876588657838]]]</v>
      </c>
      <c r="N25" t="str">
        <f t="shared" si="8"/>
        <v>,{"requestFreq":505.964425626941,"calMatrix":[[[0.00559556364178727,0.00727876588657838],[0,0]],[[0,0],[0.00559556364178727,0.00727876588657838]]]}</v>
      </c>
    </row>
    <row r="26" spans="1:14">
      <c r="A26" s="4">
        <v>636.97147288559631</v>
      </c>
      <c r="B26" s="1">
        <v>636.97722999999996</v>
      </c>
      <c r="C26" t="str">
        <f t="shared" si="0"/>
        <v>4002.24597254395i</v>
      </c>
      <c r="D26" t="str">
        <f>IMDIV(IMPRODUCT(IMSUM(1,IMPRODUCT(_t1,C26)),IMSUM(1,IMPRODUCT(_t3,C26))),IMSUM(1,IMPRODUCT(_t2,C26)))</f>
        <v>5.25221359590377+6.34274371448601i</v>
      </c>
      <c r="E26">
        <f t="shared" si="1"/>
        <v>8.2350558883742995</v>
      </c>
      <c r="F26">
        <f t="shared" si="2"/>
        <v>0.87917440701481719</v>
      </c>
      <c r="G26">
        <f t="shared" si="3"/>
        <v>5.2522135959037701</v>
      </c>
      <c r="H26">
        <f t="shared" si="4"/>
        <v>6.3427437144860104</v>
      </c>
      <c r="I26">
        <f>_scale*G26</f>
        <v>6.5652669948797126E-3</v>
      </c>
      <c r="J26">
        <f>_scale*H26</f>
        <v>7.9284296431075124E-3</v>
      </c>
      <c r="K26" t="str">
        <f t="shared" si="5"/>
        <v>"requestFreq":636.971472885596</v>
      </c>
      <c r="L26" t="str">
        <f t="shared" si="6"/>
        <v>[0.00656526699487971,0.00792842964310751]</v>
      </c>
      <c r="M26" t="str">
        <f t="shared" si="7"/>
        <v>"calMatrix":[[[0.00656526699487971,0.00792842964310751],[0,0]],[[0,0],[0.00656526699487971,0.00792842964310751]]]</v>
      </c>
      <c r="N26" t="str">
        <f t="shared" si="8"/>
        <v>,{"requestFreq":636.971472885596,"calMatrix":[[[0.00656526699487971,0.00792842964310751],[0,0]],[[0,0],[0.00656526699487971,0.00792842964310751]]]}</v>
      </c>
    </row>
    <row r="27" spans="1:14">
      <c r="A27" s="4">
        <v>801.8995738036366</v>
      </c>
      <c r="B27" s="1">
        <v>801.91144499999996</v>
      </c>
      <c r="C27" t="str">
        <f t="shared" si="0"/>
        <v>5038.55820888315i</v>
      </c>
      <c r="D27" t="str">
        <f>IMDIV(IMPRODUCT(IMSUM(1,IMPRODUCT(_t1,C27)),IMSUM(1,IMPRODUCT(_t3,C27))),IMSUM(1,IMPRODUCT(_t2,C27)))</f>
        <v>5.94943809962397+6.86795129423201i</v>
      </c>
      <c r="E27">
        <f t="shared" si="1"/>
        <v>9.0865047560214496</v>
      </c>
      <c r="F27">
        <f t="shared" si="2"/>
        <v>0.85693735847008601</v>
      </c>
      <c r="G27">
        <f t="shared" si="3"/>
        <v>5.9494380996239702</v>
      </c>
      <c r="H27">
        <f t="shared" si="4"/>
        <v>6.86795129423201</v>
      </c>
      <c r="I27">
        <f>_scale*G27</f>
        <v>7.4367976245299627E-3</v>
      </c>
      <c r="J27">
        <f>_scale*H27</f>
        <v>8.5849391177900119E-3</v>
      </c>
      <c r="K27" t="str">
        <f t="shared" si="5"/>
        <v>"requestFreq":801.899573803637</v>
      </c>
      <c r="L27" t="str">
        <f t="shared" si="6"/>
        <v>[0.00743679762452996,0.00858493911779001]</v>
      </c>
      <c r="M27" t="str">
        <f t="shared" si="7"/>
        <v>"calMatrix":[[[0.00743679762452996,0.00858493911779001],[0,0]],[[0,0],[0.00743679762452996,0.00858493911779001]]]</v>
      </c>
      <c r="N27" t="str">
        <f t="shared" si="8"/>
        <v>,{"requestFreq":801.899573803637,"calMatrix":[[[0.00743679762452996,0.00858493911779001],[0,0]],[[0,0],[0.00743679762452996,0.00858493911779001]]]}</v>
      </c>
    </row>
    <row r="28" spans="1:14">
      <c r="A28" s="4">
        <v>1009.5317511683104</v>
      </c>
      <c r="B28" s="1">
        <v>1009.546788</v>
      </c>
      <c r="C28" t="str">
        <f t="shared" si="0"/>
        <v>6343.16954527195i</v>
      </c>
      <c r="D28" t="str">
        <f>IMDIV(IMPRODUCT(IMSUM(1,IMPRODUCT(_t1,C28)),IMSUM(1,IMPRODUCT(_t3,C28))),IMSUM(1,IMPRODUCT(_t2,C28)))</f>
        <v>6.52055773499642+7.49421783864448i</v>
      </c>
      <c r="E28">
        <f t="shared" si="1"/>
        <v>9.9338297845533265</v>
      </c>
      <c r="F28">
        <f t="shared" si="2"/>
        <v>0.85476053927379203</v>
      </c>
      <c r="G28">
        <f t="shared" si="3"/>
        <v>6.5205577349964203</v>
      </c>
      <c r="H28">
        <f t="shared" si="4"/>
        <v>7.49421783864448</v>
      </c>
      <c r="I28">
        <f>_scale*G28</f>
        <v>8.1506971687455264E-3</v>
      </c>
      <c r="J28">
        <f>_scale*H28</f>
        <v>9.3677722983056006E-3</v>
      </c>
      <c r="K28" t="str">
        <f t="shared" si="5"/>
        <v>"requestFreq":1009.53175116831</v>
      </c>
      <c r="L28" t="str">
        <f t="shared" si="6"/>
        <v>[0.00815069716874553,0.0093677722983056]</v>
      </c>
      <c r="M28" t="str">
        <f t="shared" si="7"/>
        <v>"calMatrix":[[[0.00815069716874553,0.0093677722983056],[0,0]],[[0,0],[0.00815069716874553,0.0093677722983056]]]</v>
      </c>
      <c r="N28" t="str">
        <f t="shared" si="8"/>
        <v>,{"requestFreq":1009.53175116831,"calMatrix":[[[0.00815069716874553,0.0093677722983056],[0,0]],[[0,0],[0.00815069716874553,0.0093677722983056]]]}</v>
      </c>
    </row>
    <row r="29" spans="1:14">
      <c r="A29" s="4">
        <v>1270.9251755588521</v>
      </c>
      <c r="B29" s="1">
        <v>1271.06546</v>
      </c>
      <c r="C29" t="str">
        <f t="shared" si="0"/>
        <v>7986.33982273546i</v>
      </c>
      <c r="D29" t="str">
        <f>IMDIV(IMPRODUCT(IMSUM(1,IMPRODUCT(_t1,C29)),IMSUM(1,IMPRODUCT(_t3,C29))),IMSUM(1,IMPRODUCT(_t2,C29)))</f>
        <v>6.95420489773623+8.33424748674358i</v>
      </c>
      <c r="E29">
        <f t="shared" si="1"/>
        <v>10.854521957690734</v>
      </c>
      <c r="F29">
        <f t="shared" si="2"/>
        <v>0.87542117670734898</v>
      </c>
      <c r="G29">
        <f t="shared" si="3"/>
        <v>6.9542048977362301</v>
      </c>
      <c r="H29">
        <f t="shared" si="4"/>
        <v>8.3342474867435801</v>
      </c>
      <c r="I29">
        <f>_scale*G29</f>
        <v>8.6927561221702872E-3</v>
      </c>
      <c r="J29">
        <f>_scale*H29</f>
        <v>1.0417809358429475E-2</v>
      </c>
      <c r="K29" t="str">
        <f t="shared" si="5"/>
        <v>"requestFreq":1270.92517555885</v>
      </c>
      <c r="L29" t="str">
        <f t="shared" si="6"/>
        <v>[0.00869275612217029,0.0104178093584295]</v>
      </c>
      <c r="M29" t="str">
        <f t="shared" si="7"/>
        <v>"calMatrix":[[[0.00869275612217029,0.0104178093584295],[0,0]],[[0,0],[0.00869275612217029,0.0104178093584295]]]</v>
      </c>
      <c r="N29" t="str">
        <f t="shared" si="8"/>
        <v>,{"requestFreq":1270.92517555885,"calMatrix":[[[0.00869275612217029,0.0104178093584295],[0,0]],[[0,0],[0.00869275612217029,0.0104178093584295]]]}</v>
      </c>
    </row>
    <row r="30" spans="1:14">
      <c r="A30" s="4">
        <v>1600.0000000000023</v>
      </c>
      <c r="B30" s="1">
        <v>1600.019278</v>
      </c>
      <c r="C30" t="str">
        <f t="shared" si="0"/>
        <v>10053.2176187337i</v>
      </c>
      <c r="D30" t="str">
        <f>IMDIV(IMPRODUCT(IMSUM(1,IMPRODUCT(_t1,C30)),IMSUM(1,IMPRODUCT(_t3,C30))),IMSUM(1,IMPRODUCT(_t2,C30)))</f>
        <v>7.26442055846548+9.49942871103263i</v>
      </c>
      <c r="E30">
        <f t="shared" si="1"/>
        <v>11.958718655702498</v>
      </c>
      <c r="F30">
        <f t="shared" si="2"/>
        <v>0.91793962937487772</v>
      </c>
      <c r="G30">
        <f t="shared" si="3"/>
        <v>7.2644205584654804</v>
      </c>
      <c r="H30">
        <f t="shared" si="4"/>
        <v>9.4994287110326301</v>
      </c>
      <c r="I30">
        <f>_scale*G30</f>
        <v>9.08052569808185E-3</v>
      </c>
      <c r="J30">
        <f>_scale*H30</f>
        <v>1.1874285888790788E-2</v>
      </c>
      <c r="K30" t="str">
        <f t="shared" si="5"/>
        <v>"requestFreq":1600</v>
      </c>
      <c r="L30" t="str">
        <f t="shared" si="6"/>
        <v>[0.00908052569808185,0.0118742858887908]</v>
      </c>
      <c r="M30" t="str">
        <f t="shared" si="7"/>
        <v>"calMatrix":[[[0.00908052569808185,0.0118742858887908],[0,0]],[[0,0],[0.00908052569808185,0.0118742858887908]]]</v>
      </c>
      <c r="N30" t="str">
        <f t="shared" si="8"/>
        <v>,{"requestFreq":1600,"calMatrix":[[[0.00908052569808185,0.0118742858887908],[0,0]],[[0,0],[0.00908052569808185,0.0118742858887908]]]}</v>
      </c>
    </row>
    <row r="31" spans="1:14">
      <c r="A31" s="4">
        <v>2014.2806588706705</v>
      </c>
      <c r="B31" s="1">
        <v>2014.3138919999999</v>
      </c>
      <c r="C31" t="str">
        <f t="shared" si="0"/>
        <v>12656.3074502621i</v>
      </c>
      <c r="D31" t="str">
        <f>IMDIV(IMPRODUCT(IMSUM(1,IMPRODUCT(_t1,C31)),IMSUM(1,IMPRODUCT(_t3,C31))),IMSUM(1,IMPRODUCT(_t2,C31)))</f>
        <v>7.47747153230548+11.1016579356291i</v>
      </c>
      <c r="E31">
        <f t="shared" si="1"/>
        <v>13.385043497731168</v>
      </c>
      <c r="F31">
        <f t="shared" si="2"/>
        <v>0.9780465744836826</v>
      </c>
      <c r="G31">
        <f t="shared" si="3"/>
        <v>7.4774715323054801</v>
      </c>
      <c r="H31">
        <f t="shared" si="4"/>
        <v>11.101657935629101</v>
      </c>
      <c r="I31">
        <f>_scale*G31</f>
        <v>9.3468394153818496E-3</v>
      </c>
      <c r="J31">
        <f>_scale*H31</f>
        <v>1.3877072419536377E-2</v>
      </c>
      <c r="K31" t="str">
        <f t="shared" si="5"/>
        <v>"requestFreq":2014.28065887067</v>
      </c>
      <c r="L31" t="str">
        <f t="shared" si="6"/>
        <v>[0.00934683941538185,0.0138770724195364]</v>
      </c>
      <c r="M31" t="str">
        <f t="shared" si="7"/>
        <v>"calMatrix":[[[0.00934683941538185,0.0138770724195364],[0,0]],[[0,0],[0.00934683941538185,0.0138770724195364]]]</v>
      </c>
      <c r="N31" t="str">
        <f t="shared" si="8"/>
        <v>,{"requestFreq":2014.28065887067,"calMatrix":[[[0.00934683941538185,0.0138770724195364],[0,0]],[[0,0],[0.00934683941538185,0.0138770724195364]]]}</v>
      </c>
    </row>
    <row r="32" spans="1:14">
      <c r="A32" s="4">
        <v>2535.8291079377855</v>
      </c>
      <c r="B32" s="1">
        <v>2536.1076779999999</v>
      </c>
      <c r="C32" t="str">
        <f t="shared" si="0"/>
        <v>15934.8344998349i</v>
      </c>
      <c r="D32" t="str">
        <f>IMDIV(IMPRODUCT(IMSUM(1,IMPRODUCT(_t1,C32)),IMSUM(1,IMPRODUCT(_t3,C32))),IMSUM(1,IMPRODUCT(_t2,C32)))</f>
        <v>7.61956034373728+13.2574605905737i</v>
      </c>
      <c r="E32">
        <f t="shared" si="1"/>
        <v>15.291107256914673</v>
      </c>
      <c r="F32">
        <f t="shared" si="2"/>
        <v>1.0491593117597002</v>
      </c>
      <c r="G32">
        <f t="shared" si="3"/>
        <v>7.6195603437372803</v>
      </c>
      <c r="H32">
        <f t="shared" si="4"/>
        <v>13.2574605905737</v>
      </c>
      <c r="I32">
        <f>_scale*G32</f>
        <v>9.5244504296716007E-3</v>
      </c>
      <c r="J32">
        <f>_scale*H32</f>
        <v>1.6571825738217125E-2</v>
      </c>
      <c r="K32" t="str">
        <f t="shared" si="5"/>
        <v>"requestFreq":2535.82910793779</v>
      </c>
      <c r="L32" t="str">
        <f t="shared" si="6"/>
        <v>[0.0095244504296716,0.0165718257382171]</v>
      </c>
      <c r="M32" t="str">
        <f t="shared" si="7"/>
        <v>"calMatrix":[[[0.0095244504296716,0.0165718257382171],[0,0]],[[0,0],[0.0095244504296716,0.0165718257382171]]]</v>
      </c>
      <c r="N32" t="str">
        <f t="shared" si="8"/>
        <v>,{"requestFreq":2535.82910793779,"calMatrix":[[[0.0095244504296716,0.0165718257382171],[0,0]],[[0,0],[0.0095244504296716,0.0165718257382171]]]}</v>
      </c>
    </row>
    <row r="33" spans="1:14">
      <c r="A33" s="4">
        <v>3192.4197039502124</v>
      </c>
      <c r="B33" s="1">
        <v>3192.5215979999998</v>
      </c>
      <c r="C33" t="str">
        <f t="shared" si="0"/>
        <v>20059.2047974071i</v>
      </c>
      <c r="D33" t="str">
        <f>IMDIV(IMPRODUCT(IMSUM(1,IMPRODUCT(_t1,C33)),IMSUM(1,IMPRODUCT(_t3,C33))),IMSUM(1,IMPRODUCT(_t2,C33)))</f>
        <v>7.71239203303509+16.0966961121638i</v>
      </c>
      <c r="E33">
        <f t="shared" si="1"/>
        <v>17.848938808751974</v>
      </c>
      <c r="F33">
        <f t="shared" si="2"/>
        <v>1.1239845869216718</v>
      </c>
      <c r="G33">
        <f t="shared" si="3"/>
        <v>7.7123920330350897</v>
      </c>
      <c r="H33">
        <f t="shared" si="4"/>
        <v>16.096696112163801</v>
      </c>
      <c r="I33">
        <f>_scale*G33</f>
        <v>9.6404900412938623E-3</v>
      </c>
      <c r="J33">
        <f>_scale*H33</f>
        <v>2.0120870140204753E-2</v>
      </c>
      <c r="K33" t="str">
        <f t="shared" si="5"/>
        <v>"requestFreq":3192.41970395021</v>
      </c>
      <c r="L33" t="str">
        <f t="shared" si="6"/>
        <v>[0.00964049004129386,0.0201208701402048]</v>
      </c>
      <c r="M33" t="str">
        <f t="shared" si="7"/>
        <v>"calMatrix":[[[0.00964049004129386,0.0201208701402048],[0,0]],[[0,0],[0.00964049004129386,0.0201208701402048]]]</v>
      </c>
      <c r="N33" t="str">
        <f t="shared" si="8"/>
        <v>,{"requestFreq":3192.41970395021,"calMatrix":[[[0.00964049004129386,0.0201208701402048],[0,0]],[[0,0],[0.00964049004129386,0.0201208701402048]]]}</v>
      </c>
    </row>
    <row r="34" spans="1:14">
      <c r="A34" s="4">
        <v>4019.0182904153348</v>
      </c>
      <c r="B34" s="1">
        <v>4019.4603149999998</v>
      </c>
      <c r="C34" t="str">
        <f t="shared" si="0"/>
        <v>25255.0139939994i</v>
      </c>
      <c r="D34" t="str">
        <f>IMDIV(IMPRODUCT(IMSUM(1,IMPRODUCT(_t1,C34)),IMSUM(1,IMPRODUCT(_t3,C34))),IMSUM(1,IMPRODUCT(_t2,C34)))</f>
        <v>7.77235821126788+19.7845276558291i</v>
      </c>
      <c r="E34">
        <f t="shared" si="1"/>
        <v>21.25645988231647</v>
      </c>
      <c r="F34">
        <f t="shared" si="2"/>
        <v>1.1964686130839326</v>
      </c>
      <c r="G34">
        <f t="shared" si="3"/>
        <v>7.7723582112678802</v>
      </c>
      <c r="H34">
        <f t="shared" si="4"/>
        <v>19.784527655829098</v>
      </c>
      <c r="I34">
        <f>_scale*G34</f>
        <v>9.7154477640848513E-3</v>
      </c>
      <c r="J34">
        <f>_scale*H34</f>
        <v>2.4730659569786373E-2</v>
      </c>
      <c r="K34" t="str">
        <f t="shared" si="5"/>
        <v>"requestFreq":4019.01829041533</v>
      </c>
      <c r="L34" t="str">
        <f t="shared" si="6"/>
        <v>[0.00971544776408485,0.0247306595697864]</v>
      </c>
      <c r="M34" t="str">
        <f t="shared" si="7"/>
        <v>"calMatrix":[[[0.00971544776408485,0.0247306595697864],[0,0]],[[0,0],[0.00971544776408485,0.0247306595697864]]]</v>
      </c>
      <c r="N34" t="str">
        <f t="shared" si="8"/>
        <v>,{"requestFreq":4019.01829041533,"calMatrix":[[[0.00971544776408485,0.0247306595697864],[0,0]],[[0,0],[0.00971544776408485,0.0247306595697864]]]}</v>
      </c>
    </row>
    <row r="35" spans="1:14">
      <c r="A35" s="4">
        <v>5059.6442562694156</v>
      </c>
      <c r="B35" s="1">
        <v>5059.7908310000003</v>
      </c>
      <c r="C35" t="str">
        <f t="shared" si="0"/>
        <v>31791.6034067412i</v>
      </c>
      <c r="D35" t="str">
        <f>IMDIV(IMPRODUCT(IMSUM(1,IMPRODUCT(_t1,C35)),IMSUM(1,IMPRODUCT(_t3,C35))),IMSUM(1,IMPRODUCT(_t2,C35)))</f>
        <v>7.81072170631553+24.5173824441236i</v>
      </c>
      <c r="E35">
        <f t="shared" si="1"/>
        <v>25.731486849479349</v>
      </c>
      <c r="F35">
        <f t="shared" si="2"/>
        <v>1.2623829738851398</v>
      </c>
      <c r="G35">
        <f t="shared" si="3"/>
        <v>7.8107217063155296</v>
      </c>
      <c r="H35">
        <f t="shared" si="4"/>
        <v>24.517382444123601</v>
      </c>
      <c r="I35">
        <f>_scale*G35</f>
        <v>9.7634021328944116E-3</v>
      </c>
      <c r="J35">
        <f>_scale*H35</f>
        <v>3.0646728055154504E-2</v>
      </c>
      <c r="K35" t="str">
        <f t="shared" si="5"/>
        <v>"requestFreq":5059.64425626942</v>
      </c>
      <c r="L35" t="str">
        <f t="shared" si="6"/>
        <v>[0.00976340213289441,0.0306467280551545]</v>
      </c>
      <c r="M35" t="str">
        <f t="shared" si="7"/>
        <v>"calMatrix":[[[0.00976340213289441,0.0306467280551545],[0,0]],[[0,0],[0.00976340213289441,0.0306467280551545]]]</v>
      </c>
      <c r="N35" t="str">
        <f t="shared" si="8"/>
        <v>,{"requestFreq":5059.64425626942,"calMatrix":[[[0.00976340213289441,0.0306467280551545],[0,0]],[[0,0],[0.00976340213289441,0.0306467280551545]]]}</v>
      </c>
    </row>
    <row r="36" spans="1:14">
      <c r="A36" s="4">
        <v>6369.7147288559672</v>
      </c>
      <c r="B36" s="1">
        <v>6369.7354210000003</v>
      </c>
      <c r="C36" t="str">
        <f t="shared" si="0"/>
        <v>40022.2280078486i</v>
      </c>
      <c r="D36" t="str">
        <f>IMDIV(IMPRODUCT(IMSUM(1,IMPRODUCT(_t1,C36)),IMSUM(1,IMPRODUCT(_t3,C36))),IMSUM(1,IMPRODUCT(_t2,C36)))</f>
        <v>7.83516048236708+30.5537279470727i</v>
      </c>
      <c r="E36">
        <f t="shared" si="1"/>
        <v>31.54235297577177</v>
      </c>
      <c r="F36">
        <f t="shared" si="2"/>
        <v>1.31976688364807</v>
      </c>
      <c r="G36">
        <f t="shared" si="3"/>
        <v>7.8351604823670797</v>
      </c>
      <c r="H36">
        <f t="shared" si="4"/>
        <v>30.553727947072701</v>
      </c>
      <c r="I36">
        <f>_scale*G36</f>
        <v>9.7939506029588504E-3</v>
      </c>
      <c r="J36">
        <f>_scale*H36</f>
        <v>3.8192159933840876E-2</v>
      </c>
      <c r="K36" t="str">
        <f t="shared" si="5"/>
        <v>"requestFreq":6369.71472885597</v>
      </c>
      <c r="L36" t="str">
        <f t="shared" si="6"/>
        <v>[0.00979395060295885,0.0381921599338409]</v>
      </c>
      <c r="M36" t="str">
        <f t="shared" si="7"/>
        <v>"calMatrix":[[[0.00979395060295885,0.0381921599338409],[0,0]],[[0,0],[0.00979395060295885,0.0381921599338409]]]</v>
      </c>
      <c r="N36" t="str">
        <f t="shared" si="8"/>
        <v>,{"requestFreq":6369.71472885597,"calMatrix":[[[0.00979395060295885,0.0381921599338409],[0,0]],[[0,0],[0.00979395060295885,0.0381921599338409]]]}</v>
      </c>
    </row>
    <row r="37" spans="1:14">
      <c r="A37" s="4">
        <v>8018.9957380363712</v>
      </c>
      <c r="B37" s="1">
        <v>8019.2636849999999</v>
      </c>
      <c r="C37" t="str">
        <f t="shared" si="0"/>
        <v>50386.5197599908i</v>
      </c>
      <c r="D37" t="str">
        <f>IMDIV(IMPRODUCT(IMSUM(1,IMPRODUCT(_t1,C37)),IMSUM(1,IMPRODUCT(_t3,C37))),IMSUM(1,IMPRODUCT(_t2,C37)))</f>
        <v>7.85067452508615+38.2174446849417i</v>
      </c>
      <c r="E37">
        <f t="shared" si="1"/>
        <v>39.015460637360349</v>
      </c>
      <c r="F37">
        <f t="shared" si="2"/>
        <v>1.368193520925308</v>
      </c>
      <c r="G37">
        <f t="shared" si="3"/>
        <v>7.8506745250861503</v>
      </c>
      <c r="H37">
        <f t="shared" si="4"/>
        <v>38.217444684941697</v>
      </c>
      <c r="I37">
        <f>_scale*G37</f>
        <v>9.8133431563576876E-3</v>
      </c>
      <c r="J37">
        <f>_scale*H37</f>
        <v>4.7771805856177123E-2</v>
      </c>
      <c r="K37" t="str">
        <f t="shared" si="5"/>
        <v>"requestFreq":8018.99573803637</v>
      </c>
      <c r="L37" t="str">
        <f t="shared" si="6"/>
        <v>[0.00981334315635769,0.0477718058561771]</v>
      </c>
      <c r="M37" t="str">
        <f t="shared" si="7"/>
        <v>"calMatrix":[[[0.00981334315635769,0.0477718058561771],[0,0]],[[0,0],[0.00981334315635769,0.0477718058561771]]]</v>
      </c>
      <c r="N37" t="str">
        <f t="shared" si="8"/>
        <v>,{"requestFreq":8018.99573803637,"calMatrix":[[[0.00981334315635769,0.0477718058561771],[0,0]],[[0,0],[0.00981334315635769,0.0477718058561771]]]}</v>
      </c>
    </row>
    <row r="38" spans="1:14">
      <c r="A38" s="4">
        <v>10095.317511683112</v>
      </c>
      <c r="B38" s="1">
        <v>10096.471541000001</v>
      </c>
      <c r="C38" t="str">
        <f t="shared" si="0"/>
        <v>63438.001640768i</v>
      </c>
      <c r="D38" t="str">
        <f>IMDIV(IMPRODUCT(IMSUM(1,IMPRODUCT(_t1,C38)),IMSUM(1,IMPRODUCT(_t3,C38))),IMSUM(1,IMPRODUCT(_t2,C38)))</f>
        <v>7.86050062521647+47.9185797447027i</v>
      </c>
      <c r="E38">
        <f t="shared" si="1"/>
        <v>48.559013116294494</v>
      </c>
      <c r="F38">
        <f t="shared" si="2"/>
        <v>1.4082056927927267</v>
      </c>
      <c r="G38">
        <f t="shared" si="3"/>
        <v>7.8605006252164698</v>
      </c>
      <c r="H38">
        <f t="shared" si="4"/>
        <v>47.918579744702697</v>
      </c>
      <c r="I38">
        <f>_scale*G38</f>
        <v>9.8256257815205871E-3</v>
      </c>
      <c r="J38">
        <f>_scale*H38</f>
        <v>5.9898224680878374E-2</v>
      </c>
      <c r="K38" t="str">
        <f t="shared" si="5"/>
        <v>"requestFreq":10095.3175116831</v>
      </c>
      <c r="L38" t="str">
        <f t="shared" si="6"/>
        <v>[0.00982562578152059,0.0598982246808784]</v>
      </c>
      <c r="M38" t="str">
        <f t="shared" si="7"/>
        <v>"calMatrix":[[[0.00982562578152059,0.0598982246808784],[0,0]],[[0,0],[0.00982562578152059,0.0598982246808784]]]</v>
      </c>
      <c r="N38" t="str">
        <f t="shared" si="8"/>
        <v>,{"requestFreq":10095.3175116831,"calMatrix":[[[0.00982562578152059,0.0598982246808784],[0,0]],[[0,0],[0.00982562578152059,0.0598982246808784]]]}</v>
      </c>
    </row>
    <row r="39" spans="1:14">
      <c r="A39" s="4">
        <v>12709.25175558853</v>
      </c>
      <c r="B39" s="1">
        <v>12710.556156000001</v>
      </c>
      <c r="C39" t="str">
        <f t="shared" si="0"/>
        <v>79862.7796854602i</v>
      </c>
      <c r="D39" t="str">
        <f>IMDIV(IMPRODUCT(IMSUM(1,IMPRODUCT(_t1,C39)),IMSUM(1,IMPRODUCT(_t3,C39))),IMSUM(1,IMPRODUCT(_t2,C39)))</f>
        <v>7.86671201774277+60.1674664625923i</v>
      </c>
      <c r="E39">
        <f t="shared" si="1"/>
        <v>60.679561456039437</v>
      </c>
      <c r="F39">
        <f t="shared" si="2"/>
        <v>1.440786868302931</v>
      </c>
      <c r="G39">
        <f t="shared" si="3"/>
        <v>7.8667120177427696</v>
      </c>
      <c r="H39">
        <f t="shared" si="4"/>
        <v>60.167466462592301</v>
      </c>
      <c r="I39">
        <f>_scale*G39</f>
        <v>9.8333900221784631E-3</v>
      </c>
      <c r="J39">
        <f>_scale*H39</f>
        <v>7.5209333078240376E-2</v>
      </c>
      <c r="K39" t="str">
        <f t="shared" si="5"/>
        <v>"requestFreq":12709.2517555885</v>
      </c>
      <c r="L39" t="str">
        <f t="shared" si="6"/>
        <v>[0.00983339002217846,0.0752093330782404]</v>
      </c>
      <c r="M39" t="str">
        <f t="shared" si="7"/>
        <v>"calMatrix":[[[0.00983339002217846,0.0752093330782404],[0,0]],[[0,0],[0.00983339002217846,0.0752093330782404]]]</v>
      </c>
      <c r="N39" t="str">
        <f t="shared" si="8"/>
        <v>,{"requestFreq":12709.2517555885,"calMatrix":[[[0.00983339002217846,0.0752093330782404],[0,0]],[[0,0],[0.00983339002217846,0.0752093330782404]]]}</v>
      </c>
    </row>
    <row r="40" spans="1:14">
      <c r="A40" s="4">
        <v>16000.000000000033</v>
      </c>
      <c r="B40" s="1">
        <v>16000.960204000001</v>
      </c>
      <c r="C40" t="str">
        <f t="shared" si="0"/>
        <v>100536.998054538i</v>
      </c>
      <c r="D40" t="str">
        <f>IMDIV(IMPRODUCT(IMSUM(1,IMPRODUCT(_t1,C40)),IMSUM(1,IMPRODUCT(_t3,C40))),IMSUM(1,IMPRODUCT(_t2,C40)))</f>
        <v>7.87063660813434+75.6176522670479i</v>
      </c>
      <c r="E40">
        <f t="shared" si="1"/>
        <v>76.02615507177434</v>
      </c>
      <c r="F40">
        <f t="shared" si="2"/>
        <v>1.4670851267314837</v>
      </c>
      <c r="G40">
        <f t="shared" si="3"/>
        <v>7.8706366081343404</v>
      </c>
      <c r="H40">
        <f t="shared" si="4"/>
        <v>75.617652267047902</v>
      </c>
      <c r="I40">
        <f>_scale*G40</f>
        <v>9.8382957601679255E-3</v>
      </c>
      <c r="J40">
        <f>_scale*H40</f>
        <v>9.4522065333809885E-2</v>
      </c>
      <c r="K40" t="str">
        <f t="shared" si="5"/>
        <v>"requestFreq":16000</v>
      </c>
      <c r="L40" t="str">
        <f t="shared" si="6"/>
        <v>[0.00983829576016793,0.0945220653338099]</v>
      </c>
      <c r="M40" t="str">
        <f t="shared" si="7"/>
        <v>"calMatrix":[[[0.00983829576016793,0.0945220653338099],[0,0]],[[0,0],[0.00983829576016793,0.0945220653338099]]]</v>
      </c>
      <c r="N40" t="str">
        <f t="shared" si="8"/>
        <v>,{"requestFreq":16000,"calMatrix":[[[0.00983829576016793,0.0945220653338099],[0,0]],[[0,0],[0.00983829576016793,0.0945220653338099]]]}</v>
      </c>
    </row>
    <row r="41" spans="1:14">
      <c r="N41" s="5" t="s">
        <v>22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Premphasis</vt:lpstr>
    </vt:vector>
  </TitlesOfParts>
  <Company>Crystal Lake Designs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Williamsen</dc:creator>
  <cp:lastModifiedBy>Mark Williamsen</cp:lastModifiedBy>
  <dcterms:created xsi:type="dcterms:W3CDTF">2026-06-06T10:04:19Z</dcterms:created>
  <dcterms:modified xsi:type="dcterms:W3CDTF">2026-06-06T12:43:15Z</dcterms:modified>
</cp:coreProperties>
</file>