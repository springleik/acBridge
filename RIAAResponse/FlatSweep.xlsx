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41660" yWindow="880" windowWidth="25600" windowHeight="18380" tabRatio="500" activeTab="2"/>
  </bookViews>
  <sheets>
    <sheet name="Request Frequencies" sheetId="1" r:id="rId1"/>
    <sheet name="Measured Response" sheetId="2" r:id="rId2"/>
    <sheet name="FlatSweepChart" sheetId="3" r:id="rId3"/>
  </sheets>
  <definedNames>
    <definedName name="_startFreq">'Request Frequencies'!$C$2</definedName>
    <definedName name="_stepsDecade">'Request Frequencies'!$C$3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43" i="2" l="1"/>
  <c r="M74" i="2"/>
  <c r="M110" i="2"/>
  <c r="U110" i="2"/>
  <c r="L43" i="2"/>
  <c r="L74" i="2"/>
  <c r="L110" i="2"/>
  <c r="T110" i="2"/>
  <c r="K43" i="2"/>
  <c r="K74" i="2"/>
  <c r="K110" i="2"/>
  <c r="S110" i="2"/>
  <c r="J43" i="2"/>
  <c r="J74" i="2"/>
  <c r="J110" i="2"/>
  <c r="R110" i="2"/>
  <c r="Q110" i="2"/>
  <c r="P110" i="2"/>
  <c r="O110" i="2"/>
  <c r="N110" i="2"/>
  <c r="M42" i="2"/>
  <c r="M73" i="2"/>
  <c r="M109" i="2"/>
  <c r="U109" i="2"/>
  <c r="L42" i="2"/>
  <c r="L73" i="2"/>
  <c r="L109" i="2"/>
  <c r="T109" i="2"/>
  <c r="K42" i="2"/>
  <c r="K73" i="2"/>
  <c r="K109" i="2"/>
  <c r="S109" i="2"/>
  <c r="J42" i="2"/>
  <c r="J73" i="2"/>
  <c r="J109" i="2"/>
  <c r="R109" i="2"/>
  <c r="Q109" i="2"/>
  <c r="P109" i="2"/>
  <c r="O109" i="2"/>
  <c r="N109" i="2"/>
  <c r="M41" i="2"/>
  <c r="M72" i="2"/>
  <c r="M108" i="2"/>
  <c r="U108" i="2"/>
  <c r="L41" i="2"/>
  <c r="L72" i="2"/>
  <c r="L108" i="2"/>
  <c r="T108" i="2"/>
  <c r="K41" i="2"/>
  <c r="K72" i="2"/>
  <c r="K108" i="2"/>
  <c r="S108" i="2"/>
  <c r="J41" i="2"/>
  <c r="J72" i="2"/>
  <c r="J108" i="2"/>
  <c r="R108" i="2"/>
  <c r="Q108" i="2"/>
  <c r="P108" i="2"/>
  <c r="O108" i="2"/>
  <c r="N108" i="2"/>
  <c r="M40" i="2"/>
  <c r="M71" i="2"/>
  <c r="M107" i="2"/>
  <c r="U107" i="2"/>
  <c r="L40" i="2"/>
  <c r="L71" i="2"/>
  <c r="L107" i="2"/>
  <c r="T107" i="2"/>
  <c r="K40" i="2"/>
  <c r="K71" i="2"/>
  <c r="K107" i="2"/>
  <c r="S107" i="2"/>
  <c r="J40" i="2"/>
  <c r="J71" i="2"/>
  <c r="J107" i="2"/>
  <c r="R107" i="2"/>
  <c r="Q107" i="2"/>
  <c r="P107" i="2"/>
  <c r="O107" i="2"/>
  <c r="N107" i="2"/>
  <c r="M39" i="2"/>
  <c r="M70" i="2"/>
  <c r="M106" i="2"/>
  <c r="U106" i="2"/>
  <c r="L39" i="2"/>
  <c r="L70" i="2"/>
  <c r="L106" i="2"/>
  <c r="T106" i="2"/>
  <c r="K39" i="2"/>
  <c r="K70" i="2"/>
  <c r="K106" i="2"/>
  <c r="S106" i="2"/>
  <c r="J39" i="2"/>
  <c r="J70" i="2"/>
  <c r="J106" i="2"/>
  <c r="R106" i="2"/>
  <c r="Q106" i="2"/>
  <c r="P106" i="2"/>
  <c r="O106" i="2"/>
  <c r="N106" i="2"/>
  <c r="M38" i="2"/>
  <c r="M69" i="2"/>
  <c r="M105" i="2"/>
  <c r="U105" i="2"/>
  <c r="L38" i="2"/>
  <c r="L69" i="2"/>
  <c r="L105" i="2"/>
  <c r="T105" i="2"/>
  <c r="K38" i="2"/>
  <c r="K69" i="2"/>
  <c r="K105" i="2"/>
  <c r="S105" i="2"/>
  <c r="J38" i="2"/>
  <c r="J69" i="2"/>
  <c r="J105" i="2"/>
  <c r="R105" i="2"/>
  <c r="Q105" i="2"/>
  <c r="P105" i="2"/>
  <c r="O105" i="2"/>
  <c r="N105" i="2"/>
  <c r="M37" i="2"/>
  <c r="M68" i="2"/>
  <c r="M104" i="2"/>
  <c r="U104" i="2"/>
  <c r="L37" i="2"/>
  <c r="L68" i="2"/>
  <c r="L104" i="2"/>
  <c r="T104" i="2"/>
  <c r="K37" i="2"/>
  <c r="K68" i="2"/>
  <c r="K104" i="2"/>
  <c r="S104" i="2"/>
  <c r="J37" i="2"/>
  <c r="J68" i="2"/>
  <c r="J104" i="2"/>
  <c r="R104" i="2"/>
  <c r="Q104" i="2"/>
  <c r="P104" i="2"/>
  <c r="O104" i="2"/>
  <c r="N104" i="2"/>
  <c r="M36" i="2"/>
  <c r="M67" i="2"/>
  <c r="M103" i="2"/>
  <c r="U103" i="2"/>
  <c r="L36" i="2"/>
  <c r="L67" i="2"/>
  <c r="L103" i="2"/>
  <c r="T103" i="2"/>
  <c r="K36" i="2"/>
  <c r="K67" i="2"/>
  <c r="K103" i="2"/>
  <c r="S103" i="2"/>
  <c r="J36" i="2"/>
  <c r="J67" i="2"/>
  <c r="J103" i="2"/>
  <c r="R103" i="2"/>
  <c r="Q103" i="2"/>
  <c r="P103" i="2"/>
  <c r="O103" i="2"/>
  <c r="N103" i="2"/>
  <c r="M35" i="2"/>
  <c r="M66" i="2"/>
  <c r="M102" i="2"/>
  <c r="U102" i="2"/>
  <c r="L35" i="2"/>
  <c r="L66" i="2"/>
  <c r="L102" i="2"/>
  <c r="T102" i="2"/>
  <c r="K35" i="2"/>
  <c r="K66" i="2"/>
  <c r="K102" i="2"/>
  <c r="S102" i="2"/>
  <c r="J35" i="2"/>
  <c r="J66" i="2"/>
  <c r="J102" i="2"/>
  <c r="R102" i="2"/>
  <c r="Q102" i="2"/>
  <c r="P102" i="2"/>
  <c r="O102" i="2"/>
  <c r="N102" i="2"/>
  <c r="M34" i="2"/>
  <c r="M65" i="2"/>
  <c r="M101" i="2"/>
  <c r="U101" i="2"/>
  <c r="L34" i="2"/>
  <c r="L65" i="2"/>
  <c r="L101" i="2"/>
  <c r="T101" i="2"/>
  <c r="K34" i="2"/>
  <c r="K65" i="2"/>
  <c r="K101" i="2"/>
  <c r="S101" i="2"/>
  <c r="J34" i="2"/>
  <c r="J65" i="2"/>
  <c r="J101" i="2"/>
  <c r="R101" i="2"/>
  <c r="Q101" i="2"/>
  <c r="P101" i="2"/>
  <c r="O101" i="2"/>
  <c r="N101" i="2"/>
  <c r="M33" i="2"/>
  <c r="M64" i="2"/>
  <c r="M100" i="2"/>
  <c r="U100" i="2"/>
  <c r="L33" i="2"/>
  <c r="L64" i="2"/>
  <c r="L100" i="2"/>
  <c r="T100" i="2"/>
  <c r="K33" i="2"/>
  <c r="K64" i="2"/>
  <c r="K100" i="2"/>
  <c r="S100" i="2"/>
  <c r="J33" i="2"/>
  <c r="J64" i="2"/>
  <c r="J100" i="2"/>
  <c r="R100" i="2"/>
  <c r="Q100" i="2"/>
  <c r="P100" i="2"/>
  <c r="O100" i="2"/>
  <c r="N100" i="2"/>
  <c r="M32" i="2"/>
  <c r="M63" i="2"/>
  <c r="M99" i="2"/>
  <c r="U99" i="2"/>
  <c r="L32" i="2"/>
  <c r="L63" i="2"/>
  <c r="L99" i="2"/>
  <c r="T99" i="2"/>
  <c r="K32" i="2"/>
  <c r="K63" i="2"/>
  <c r="K99" i="2"/>
  <c r="S99" i="2"/>
  <c r="J32" i="2"/>
  <c r="J63" i="2"/>
  <c r="J99" i="2"/>
  <c r="R99" i="2"/>
  <c r="Q99" i="2"/>
  <c r="P99" i="2"/>
  <c r="O99" i="2"/>
  <c r="N99" i="2"/>
  <c r="M31" i="2"/>
  <c r="M62" i="2"/>
  <c r="M98" i="2"/>
  <c r="U98" i="2"/>
  <c r="L31" i="2"/>
  <c r="L62" i="2"/>
  <c r="L98" i="2"/>
  <c r="T98" i="2"/>
  <c r="K31" i="2"/>
  <c r="K62" i="2"/>
  <c r="K98" i="2"/>
  <c r="S98" i="2"/>
  <c r="J31" i="2"/>
  <c r="J62" i="2"/>
  <c r="J98" i="2"/>
  <c r="R98" i="2"/>
  <c r="Q98" i="2"/>
  <c r="P98" i="2"/>
  <c r="O98" i="2"/>
  <c r="N98" i="2"/>
  <c r="M30" i="2"/>
  <c r="M61" i="2"/>
  <c r="M97" i="2"/>
  <c r="U97" i="2"/>
  <c r="L30" i="2"/>
  <c r="L61" i="2"/>
  <c r="L97" i="2"/>
  <c r="T97" i="2"/>
  <c r="K30" i="2"/>
  <c r="K61" i="2"/>
  <c r="K97" i="2"/>
  <c r="S97" i="2"/>
  <c r="J30" i="2"/>
  <c r="J61" i="2"/>
  <c r="J97" i="2"/>
  <c r="R97" i="2"/>
  <c r="Q97" i="2"/>
  <c r="P97" i="2"/>
  <c r="O97" i="2"/>
  <c r="N97" i="2"/>
  <c r="M29" i="2"/>
  <c r="M60" i="2"/>
  <c r="M96" i="2"/>
  <c r="U96" i="2"/>
  <c r="L29" i="2"/>
  <c r="L60" i="2"/>
  <c r="L96" i="2"/>
  <c r="T96" i="2"/>
  <c r="K29" i="2"/>
  <c r="K60" i="2"/>
  <c r="K96" i="2"/>
  <c r="S96" i="2"/>
  <c r="J29" i="2"/>
  <c r="J60" i="2"/>
  <c r="J96" i="2"/>
  <c r="R96" i="2"/>
  <c r="Q96" i="2"/>
  <c r="P96" i="2"/>
  <c r="O96" i="2"/>
  <c r="N96" i="2"/>
  <c r="M28" i="2"/>
  <c r="M59" i="2"/>
  <c r="M95" i="2"/>
  <c r="U95" i="2"/>
  <c r="L28" i="2"/>
  <c r="L59" i="2"/>
  <c r="L95" i="2"/>
  <c r="T95" i="2"/>
  <c r="K28" i="2"/>
  <c r="K59" i="2"/>
  <c r="K95" i="2"/>
  <c r="S95" i="2"/>
  <c r="J28" i="2"/>
  <c r="J59" i="2"/>
  <c r="J95" i="2"/>
  <c r="R95" i="2"/>
  <c r="Q95" i="2"/>
  <c r="P95" i="2"/>
  <c r="O95" i="2"/>
  <c r="N95" i="2"/>
  <c r="M27" i="2"/>
  <c r="M58" i="2"/>
  <c r="M94" i="2"/>
  <c r="U94" i="2"/>
  <c r="L27" i="2"/>
  <c r="L58" i="2"/>
  <c r="L94" i="2"/>
  <c r="T94" i="2"/>
  <c r="K27" i="2"/>
  <c r="K58" i="2"/>
  <c r="K94" i="2"/>
  <c r="S94" i="2"/>
  <c r="J27" i="2"/>
  <c r="J58" i="2"/>
  <c r="J94" i="2"/>
  <c r="R94" i="2"/>
  <c r="Q94" i="2"/>
  <c r="P94" i="2"/>
  <c r="O94" i="2"/>
  <c r="N94" i="2"/>
  <c r="M26" i="2"/>
  <c r="M57" i="2"/>
  <c r="M93" i="2"/>
  <c r="U93" i="2"/>
  <c r="L26" i="2"/>
  <c r="L57" i="2"/>
  <c r="L93" i="2"/>
  <c r="T93" i="2"/>
  <c r="K26" i="2"/>
  <c r="K57" i="2"/>
  <c r="K93" i="2"/>
  <c r="S93" i="2"/>
  <c r="J26" i="2"/>
  <c r="J57" i="2"/>
  <c r="J93" i="2"/>
  <c r="R93" i="2"/>
  <c r="Q93" i="2"/>
  <c r="P93" i="2"/>
  <c r="O93" i="2"/>
  <c r="N93" i="2"/>
  <c r="M25" i="2"/>
  <c r="M56" i="2"/>
  <c r="M92" i="2"/>
  <c r="U92" i="2"/>
  <c r="L25" i="2"/>
  <c r="L56" i="2"/>
  <c r="L92" i="2"/>
  <c r="T92" i="2"/>
  <c r="K25" i="2"/>
  <c r="K56" i="2"/>
  <c r="K92" i="2"/>
  <c r="S92" i="2"/>
  <c r="J25" i="2"/>
  <c r="J56" i="2"/>
  <c r="J92" i="2"/>
  <c r="R92" i="2"/>
  <c r="Q92" i="2"/>
  <c r="P92" i="2"/>
  <c r="O92" i="2"/>
  <c r="N92" i="2"/>
  <c r="M24" i="2"/>
  <c r="M55" i="2"/>
  <c r="M91" i="2"/>
  <c r="U91" i="2"/>
  <c r="L24" i="2"/>
  <c r="L55" i="2"/>
  <c r="L91" i="2"/>
  <c r="T91" i="2"/>
  <c r="K24" i="2"/>
  <c r="K55" i="2"/>
  <c r="K91" i="2"/>
  <c r="S91" i="2"/>
  <c r="J24" i="2"/>
  <c r="J55" i="2"/>
  <c r="J91" i="2"/>
  <c r="R91" i="2"/>
  <c r="Q91" i="2"/>
  <c r="P91" i="2"/>
  <c r="O91" i="2"/>
  <c r="N91" i="2"/>
  <c r="M23" i="2"/>
  <c r="M54" i="2"/>
  <c r="M90" i="2"/>
  <c r="U90" i="2"/>
  <c r="L23" i="2"/>
  <c r="L54" i="2"/>
  <c r="L90" i="2"/>
  <c r="T90" i="2"/>
  <c r="K23" i="2"/>
  <c r="K54" i="2"/>
  <c r="K90" i="2"/>
  <c r="S90" i="2"/>
  <c r="J23" i="2"/>
  <c r="J54" i="2"/>
  <c r="J90" i="2"/>
  <c r="R90" i="2"/>
  <c r="Q90" i="2"/>
  <c r="P90" i="2"/>
  <c r="O90" i="2"/>
  <c r="N90" i="2"/>
  <c r="M22" i="2"/>
  <c r="M53" i="2"/>
  <c r="M89" i="2"/>
  <c r="U89" i="2"/>
  <c r="L22" i="2"/>
  <c r="L53" i="2"/>
  <c r="L89" i="2"/>
  <c r="T89" i="2"/>
  <c r="K22" i="2"/>
  <c r="K53" i="2"/>
  <c r="K89" i="2"/>
  <c r="S89" i="2"/>
  <c r="J22" i="2"/>
  <c r="J53" i="2"/>
  <c r="J89" i="2"/>
  <c r="R89" i="2"/>
  <c r="Q89" i="2"/>
  <c r="P89" i="2"/>
  <c r="O89" i="2"/>
  <c r="N89" i="2"/>
  <c r="M21" i="2"/>
  <c r="M52" i="2"/>
  <c r="M88" i="2"/>
  <c r="U88" i="2"/>
  <c r="L21" i="2"/>
  <c r="L52" i="2"/>
  <c r="L88" i="2"/>
  <c r="T88" i="2"/>
  <c r="K21" i="2"/>
  <c r="K52" i="2"/>
  <c r="K88" i="2"/>
  <c r="S88" i="2"/>
  <c r="J21" i="2"/>
  <c r="J52" i="2"/>
  <c r="J88" i="2"/>
  <c r="R88" i="2"/>
  <c r="Q88" i="2"/>
  <c r="P88" i="2"/>
  <c r="O88" i="2"/>
  <c r="N88" i="2"/>
  <c r="M20" i="2"/>
  <c r="M51" i="2"/>
  <c r="M87" i="2"/>
  <c r="U87" i="2"/>
  <c r="L20" i="2"/>
  <c r="L51" i="2"/>
  <c r="L87" i="2"/>
  <c r="T87" i="2"/>
  <c r="K20" i="2"/>
  <c r="K51" i="2"/>
  <c r="K87" i="2"/>
  <c r="S87" i="2"/>
  <c r="J20" i="2"/>
  <c r="J51" i="2"/>
  <c r="J87" i="2"/>
  <c r="R87" i="2"/>
  <c r="Q87" i="2"/>
  <c r="P87" i="2"/>
  <c r="O87" i="2"/>
  <c r="N87" i="2"/>
  <c r="M19" i="2"/>
  <c r="M50" i="2"/>
  <c r="M86" i="2"/>
  <c r="U86" i="2"/>
  <c r="L19" i="2"/>
  <c r="L50" i="2"/>
  <c r="L86" i="2"/>
  <c r="T86" i="2"/>
  <c r="K19" i="2"/>
  <c r="K50" i="2"/>
  <c r="K86" i="2"/>
  <c r="S86" i="2"/>
  <c r="J19" i="2"/>
  <c r="J50" i="2"/>
  <c r="J86" i="2"/>
  <c r="R86" i="2"/>
  <c r="Q86" i="2"/>
  <c r="P86" i="2"/>
  <c r="O86" i="2"/>
  <c r="N86" i="2"/>
  <c r="M18" i="2"/>
  <c r="M49" i="2"/>
  <c r="M85" i="2"/>
  <c r="U85" i="2"/>
  <c r="L18" i="2"/>
  <c r="L49" i="2"/>
  <c r="L85" i="2"/>
  <c r="T85" i="2"/>
  <c r="K18" i="2"/>
  <c r="K49" i="2"/>
  <c r="K85" i="2"/>
  <c r="S85" i="2"/>
  <c r="J18" i="2"/>
  <c r="J49" i="2"/>
  <c r="J85" i="2"/>
  <c r="R85" i="2"/>
  <c r="Q85" i="2"/>
  <c r="P85" i="2"/>
  <c r="O85" i="2"/>
  <c r="N85" i="2"/>
  <c r="M17" i="2"/>
  <c r="M48" i="2"/>
  <c r="M84" i="2"/>
  <c r="U84" i="2"/>
  <c r="L17" i="2"/>
  <c r="L48" i="2"/>
  <c r="L84" i="2"/>
  <c r="T84" i="2"/>
  <c r="K17" i="2"/>
  <c r="K48" i="2"/>
  <c r="K84" i="2"/>
  <c r="S84" i="2"/>
  <c r="J17" i="2"/>
  <c r="J48" i="2"/>
  <c r="J84" i="2"/>
  <c r="R84" i="2"/>
  <c r="Q84" i="2"/>
  <c r="P84" i="2"/>
  <c r="O84" i="2"/>
  <c r="N84" i="2"/>
  <c r="M16" i="2"/>
  <c r="M47" i="2"/>
  <c r="M83" i="2"/>
  <c r="U83" i="2"/>
  <c r="L16" i="2"/>
  <c r="L47" i="2"/>
  <c r="L83" i="2"/>
  <c r="T83" i="2"/>
  <c r="K16" i="2"/>
  <c r="K47" i="2"/>
  <c r="K83" i="2"/>
  <c r="S83" i="2"/>
  <c r="J16" i="2"/>
  <c r="J47" i="2"/>
  <c r="J83" i="2"/>
  <c r="R83" i="2"/>
  <c r="Q83" i="2"/>
  <c r="P83" i="2"/>
  <c r="O83" i="2"/>
  <c r="N83" i="2"/>
  <c r="M15" i="2"/>
  <c r="M46" i="2"/>
  <c r="M82" i="2"/>
  <c r="U82" i="2"/>
  <c r="L15" i="2"/>
  <c r="L46" i="2"/>
  <c r="L82" i="2"/>
  <c r="T82" i="2"/>
  <c r="K15" i="2"/>
  <c r="K46" i="2"/>
  <c r="K82" i="2"/>
  <c r="S82" i="2"/>
  <c r="J15" i="2"/>
  <c r="J46" i="2"/>
  <c r="J82" i="2"/>
  <c r="R82" i="2"/>
  <c r="Q82" i="2"/>
  <c r="P82" i="2"/>
  <c r="O82" i="2"/>
  <c r="N82" i="2"/>
  <c r="M14" i="2"/>
  <c r="M45" i="2"/>
  <c r="M81" i="2"/>
  <c r="U81" i="2"/>
  <c r="L14" i="2"/>
  <c r="L45" i="2"/>
  <c r="L81" i="2"/>
  <c r="T81" i="2"/>
  <c r="K14" i="2"/>
  <c r="K45" i="2"/>
  <c r="K81" i="2"/>
  <c r="S81" i="2"/>
  <c r="J14" i="2"/>
  <c r="J45" i="2"/>
  <c r="J81" i="2"/>
  <c r="R81" i="2"/>
  <c r="Q81" i="2"/>
  <c r="P81" i="2"/>
  <c r="O81" i="2"/>
  <c r="N81" i="2"/>
  <c r="M13" i="2"/>
  <c r="M44" i="2"/>
  <c r="M80" i="2"/>
  <c r="U80" i="2"/>
  <c r="L13" i="2"/>
  <c r="L44" i="2"/>
  <c r="L80" i="2"/>
  <c r="T80" i="2"/>
  <c r="K13" i="2"/>
  <c r="K44" i="2"/>
  <c r="K80" i="2"/>
  <c r="S80" i="2"/>
  <c r="J13" i="2"/>
  <c r="J44" i="2"/>
  <c r="J80" i="2"/>
  <c r="R80" i="2"/>
  <c r="Q80" i="2"/>
  <c r="P80" i="2"/>
  <c r="O80" i="2"/>
  <c r="N80" i="2"/>
  <c r="S13" i="2"/>
  <c r="T13" i="2"/>
  <c r="U13" i="2"/>
  <c r="S14" i="2"/>
  <c r="T14" i="2"/>
  <c r="U14" i="2"/>
  <c r="S15" i="2"/>
  <c r="T15" i="2"/>
  <c r="U15" i="2"/>
  <c r="S16" i="2"/>
  <c r="T16" i="2"/>
  <c r="U16" i="2"/>
  <c r="S17" i="2"/>
  <c r="T17" i="2"/>
  <c r="U17" i="2"/>
  <c r="S18" i="2"/>
  <c r="T18" i="2"/>
  <c r="U18" i="2"/>
  <c r="S19" i="2"/>
  <c r="T19" i="2"/>
  <c r="U19" i="2"/>
  <c r="S20" i="2"/>
  <c r="T20" i="2"/>
  <c r="U20" i="2"/>
  <c r="S21" i="2"/>
  <c r="T21" i="2"/>
  <c r="U21" i="2"/>
  <c r="S22" i="2"/>
  <c r="T22" i="2"/>
  <c r="U22" i="2"/>
  <c r="S23" i="2"/>
  <c r="T23" i="2"/>
  <c r="U23" i="2"/>
  <c r="S24" i="2"/>
  <c r="T24" i="2"/>
  <c r="U24" i="2"/>
  <c r="S25" i="2"/>
  <c r="T25" i="2"/>
  <c r="U25" i="2"/>
  <c r="S26" i="2"/>
  <c r="T26" i="2"/>
  <c r="U26" i="2"/>
  <c r="S27" i="2"/>
  <c r="T27" i="2"/>
  <c r="U27" i="2"/>
  <c r="S28" i="2"/>
  <c r="T28" i="2"/>
  <c r="U28" i="2"/>
  <c r="S29" i="2"/>
  <c r="T29" i="2"/>
  <c r="U29" i="2"/>
  <c r="S30" i="2"/>
  <c r="T30" i="2"/>
  <c r="U30" i="2"/>
  <c r="S31" i="2"/>
  <c r="T31" i="2"/>
  <c r="U31" i="2"/>
  <c r="S32" i="2"/>
  <c r="T32" i="2"/>
  <c r="U32" i="2"/>
  <c r="S33" i="2"/>
  <c r="T33" i="2"/>
  <c r="U33" i="2"/>
  <c r="S34" i="2"/>
  <c r="T34" i="2"/>
  <c r="U34" i="2"/>
  <c r="S35" i="2"/>
  <c r="T35" i="2"/>
  <c r="U35" i="2"/>
  <c r="S36" i="2"/>
  <c r="T36" i="2"/>
  <c r="U36" i="2"/>
  <c r="S37" i="2"/>
  <c r="T37" i="2"/>
  <c r="U37" i="2"/>
  <c r="S38" i="2"/>
  <c r="T38" i="2"/>
  <c r="U38" i="2"/>
  <c r="S39" i="2"/>
  <c r="T39" i="2"/>
  <c r="U39" i="2"/>
  <c r="S40" i="2"/>
  <c r="T40" i="2"/>
  <c r="U40" i="2"/>
  <c r="S41" i="2"/>
  <c r="T41" i="2"/>
  <c r="U41" i="2"/>
  <c r="S42" i="2"/>
  <c r="T42" i="2"/>
  <c r="U42" i="2"/>
  <c r="S43" i="2"/>
  <c r="T43" i="2"/>
  <c r="U43" i="2"/>
  <c r="S44" i="2"/>
  <c r="T44" i="2"/>
  <c r="U44" i="2"/>
  <c r="S45" i="2"/>
  <c r="T45" i="2"/>
  <c r="U45" i="2"/>
  <c r="S46" i="2"/>
  <c r="T46" i="2"/>
  <c r="U46" i="2"/>
  <c r="S47" i="2"/>
  <c r="T47" i="2"/>
  <c r="U47" i="2"/>
  <c r="S48" i="2"/>
  <c r="T48" i="2"/>
  <c r="U48" i="2"/>
  <c r="S49" i="2"/>
  <c r="T49" i="2"/>
  <c r="U49" i="2"/>
  <c r="S50" i="2"/>
  <c r="T50" i="2"/>
  <c r="U50" i="2"/>
  <c r="S51" i="2"/>
  <c r="T51" i="2"/>
  <c r="U51" i="2"/>
  <c r="S52" i="2"/>
  <c r="T52" i="2"/>
  <c r="U52" i="2"/>
  <c r="S53" i="2"/>
  <c r="T53" i="2"/>
  <c r="U53" i="2"/>
  <c r="S54" i="2"/>
  <c r="T54" i="2"/>
  <c r="U54" i="2"/>
  <c r="S55" i="2"/>
  <c r="T55" i="2"/>
  <c r="U55" i="2"/>
  <c r="S56" i="2"/>
  <c r="T56" i="2"/>
  <c r="U56" i="2"/>
  <c r="S57" i="2"/>
  <c r="T57" i="2"/>
  <c r="U57" i="2"/>
  <c r="S58" i="2"/>
  <c r="T58" i="2"/>
  <c r="U58" i="2"/>
  <c r="S59" i="2"/>
  <c r="T59" i="2"/>
  <c r="U59" i="2"/>
  <c r="S60" i="2"/>
  <c r="T60" i="2"/>
  <c r="U60" i="2"/>
  <c r="S61" i="2"/>
  <c r="T61" i="2"/>
  <c r="U61" i="2"/>
  <c r="S62" i="2"/>
  <c r="T62" i="2"/>
  <c r="U62" i="2"/>
  <c r="S63" i="2"/>
  <c r="T63" i="2"/>
  <c r="U63" i="2"/>
  <c r="S64" i="2"/>
  <c r="T64" i="2"/>
  <c r="U64" i="2"/>
  <c r="S65" i="2"/>
  <c r="T65" i="2"/>
  <c r="U65" i="2"/>
  <c r="S66" i="2"/>
  <c r="T66" i="2"/>
  <c r="U66" i="2"/>
  <c r="S67" i="2"/>
  <c r="T67" i="2"/>
  <c r="U67" i="2"/>
  <c r="S68" i="2"/>
  <c r="T68" i="2"/>
  <c r="U68" i="2"/>
  <c r="S69" i="2"/>
  <c r="T69" i="2"/>
  <c r="U69" i="2"/>
  <c r="S70" i="2"/>
  <c r="T70" i="2"/>
  <c r="U70" i="2"/>
  <c r="S71" i="2"/>
  <c r="T71" i="2"/>
  <c r="U71" i="2"/>
  <c r="S72" i="2"/>
  <c r="T72" i="2"/>
  <c r="U72" i="2"/>
  <c r="S73" i="2"/>
  <c r="T73" i="2"/>
  <c r="U73" i="2"/>
  <c r="S74" i="2"/>
  <c r="T74" i="2"/>
  <c r="U74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N20" i="2"/>
  <c r="O20" i="2"/>
  <c r="P20" i="2"/>
  <c r="Q20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N38" i="2"/>
  <c r="O38" i="2"/>
  <c r="P38" i="2"/>
  <c r="Q38" i="2"/>
  <c r="N39" i="2"/>
  <c r="O39" i="2"/>
  <c r="P39" i="2"/>
  <c r="Q39" i="2"/>
  <c r="N40" i="2"/>
  <c r="O40" i="2"/>
  <c r="P40" i="2"/>
  <c r="Q40" i="2"/>
  <c r="N41" i="2"/>
  <c r="O41" i="2"/>
  <c r="P41" i="2"/>
  <c r="Q41" i="2"/>
  <c r="N42" i="2"/>
  <c r="O42" i="2"/>
  <c r="P42" i="2"/>
  <c r="Q42" i="2"/>
  <c r="N43" i="2"/>
  <c r="O43" i="2"/>
  <c r="P43" i="2"/>
  <c r="Q43" i="2"/>
  <c r="N44" i="2"/>
  <c r="O44" i="2"/>
  <c r="P44" i="2"/>
  <c r="Q44" i="2"/>
  <c r="N45" i="2"/>
  <c r="O45" i="2"/>
  <c r="P45" i="2"/>
  <c r="Q45" i="2"/>
  <c r="N46" i="2"/>
  <c r="O46" i="2"/>
  <c r="P46" i="2"/>
  <c r="Q46" i="2"/>
  <c r="N47" i="2"/>
  <c r="O47" i="2"/>
  <c r="P47" i="2"/>
  <c r="Q47" i="2"/>
  <c r="N48" i="2"/>
  <c r="O48" i="2"/>
  <c r="P48" i="2"/>
  <c r="Q48" i="2"/>
  <c r="N49" i="2"/>
  <c r="O49" i="2"/>
  <c r="P49" i="2"/>
  <c r="Q49" i="2"/>
  <c r="N50" i="2"/>
  <c r="O50" i="2"/>
  <c r="P50" i="2"/>
  <c r="Q50" i="2"/>
  <c r="N51" i="2"/>
  <c r="O51" i="2"/>
  <c r="P51" i="2"/>
  <c r="Q51" i="2"/>
  <c r="N52" i="2"/>
  <c r="O52" i="2"/>
  <c r="P52" i="2"/>
  <c r="Q52" i="2"/>
  <c r="N53" i="2"/>
  <c r="O53" i="2"/>
  <c r="P53" i="2"/>
  <c r="Q53" i="2"/>
  <c r="N54" i="2"/>
  <c r="O54" i="2"/>
  <c r="P54" i="2"/>
  <c r="Q54" i="2"/>
  <c r="N55" i="2"/>
  <c r="O55" i="2"/>
  <c r="P55" i="2"/>
  <c r="Q55" i="2"/>
  <c r="N56" i="2"/>
  <c r="O56" i="2"/>
  <c r="P56" i="2"/>
  <c r="Q56" i="2"/>
  <c r="N57" i="2"/>
  <c r="O57" i="2"/>
  <c r="P57" i="2"/>
  <c r="Q57" i="2"/>
  <c r="N58" i="2"/>
  <c r="O58" i="2"/>
  <c r="P58" i="2"/>
  <c r="Q58" i="2"/>
  <c r="N59" i="2"/>
  <c r="O59" i="2"/>
  <c r="P59" i="2"/>
  <c r="Q59" i="2"/>
  <c r="N60" i="2"/>
  <c r="O60" i="2"/>
  <c r="P60" i="2"/>
  <c r="Q60" i="2"/>
  <c r="N61" i="2"/>
  <c r="O61" i="2"/>
  <c r="P61" i="2"/>
  <c r="Q61" i="2"/>
  <c r="N62" i="2"/>
  <c r="O62" i="2"/>
  <c r="P62" i="2"/>
  <c r="Q62" i="2"/>
  <c r="N63" i="2"/>
  <c r="O63" i="2"/>
  <c r="P63" i="2"/>
  <c r="Q63" i="2"/>
  <c r="N64" i="2"/>
  <c r="O64" i="2"/>
  <c r="P64" i="2"/>
  <c r="Q64" i="2"/>
  <c r="N65" i="2"/>
  <c r="O65" i="2"/>
  <c r="P65" i="2"/>
  <c r="Q65" i="2"/>
  <c r="N66" i="2"/>
  <c r="O66" i="2"/>
  <c r="P66" i="2"/>
  <c r="Q66" i="2"/>
  <c r="N67" i="2"/>
  <c r="O67" i="2"/>
  <c r="P67" i="2"/>
  <c r="Q67" i="2"/>
  <c r="N68" i="2"/>
  <c r="O68" i="2"/>
  <c r="P68" i="2"/>
  <c r="Q68" i="2"/>
  <c r="N69" i="2"/>
  <c r="O69" i="2"/>
  <c r="P69" i="2"/>
  <c r="Q69" i="2"/>
  <c r="N70" i="2"/>
  <c r="O70" i="2"/>
  <c r="P70" i="2"/>
  <c r="Q70" i="2"/>
  <c r="N71" i="2"/>
  <c r="O71" i="2"/>
  <c r="P71" i="2"/>
  <c r="Q71" i="2"/>
  <c r="N72" i="2"/>
  <c r="O72" i="2"/>
  <c r="P72" i="2"/>
  <c r="Q72" i="2"/>
  <c r="N73" i="2"/>
  <c r="O73" i="2"/>
  <c r="P73" i="2"/>
  <c r="Q73" i="2"/>
  <c r="N74" i="2"/>
  <c r="O74" i="2"/>
  <c r="P74" i="2"/>
  <c r="Q74" i="2"/>
  <c r="O13" i="2"/>
  <c r="P13" i="2"/>
  <c r="Q13" i="2"/>
  <c r="N13" i="2"/>
  <c r="C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D6" i="1"/>
</calcChain>
</file>

<file path=xl/sharedStrings.xml><?xml version="1.0" encoding="utf-8"?>
<sst xmlns="http://schemas.openxmlformats.org/spreadsheetml/2006/main" count="71" uniqueCount="45">
  <si>
    <t>Start Frequency</t>
  </si>
  <si>
    <t>Steps/Decade</t>
  </si>
  <si>
    <t>Request Frequencies</t>
  </si>
  <si>
    <t>Index</t>
  </si>
  <si>
    <t>JSON text for description file</t>
  </si>
  <si>
    <t>]</t>
  </si>
  <si>
    <t>[{"skip":"3 decades, 10 spot freqs per decade."}</t>
  </si>
  <si>
    <t>{</t>
  </si>
  <si>
    <t>}</t>
  </si>
  <si>
    <t>Loading</t>
  </si>
  <si>
    <t>setup</t>
  </si>
  <si>
    <t>file</t>
  </si>
  <si>
    <t>'b.json'</t>
  </si>
  <si>
    <t>Reading</t>
  </si>
  <si>
    <t>wave</t>
  </si>
  <si>
    <t>'b.wav'</t>
  </si>
  <si>
    <t>Wave</t>
  </si>
  <si>
    <t>parameters:</t>
  </si>
  <si>
    <t>nchannels:</t>
  </si>
  <si>
    <t>2,</t>
  </si>
  <si>
    <t>sampwidth:</t>
  </si>
  <si>
    <t>3,</t>
  </si>
  <si>
    <t>framerate:</t>
  </si>
  <si>
    <t>44100,</t>
  </si>
  <si>
    <t>nframes:</t>
  </si>
  <si>
    <t>comptype:</t>
  </si>
  <si>
    <t>NONE,</t>
  </si>
  <si>
    <t>compname:</t>
  </si>
  <si>
    <t>not compressed</t>
  </si>
  <si>
    <t>Expected</t>
  </si>
  <si>
    <t>frames,</t>
  </si>
  <si>
    <t>found</t>
  </si>
  <si>
    <t>Writing</t>
  </si>
  <si>
    <t>'c.json'</t>
  </si>
  <si>
    <t>12547203,</t>
  </si>
  <si>
    <t>A</t>
  </si>
  <si>
    <t>B</t>
  </si>
  <si>
    <t>C</t>
  </si>
  <si>
    <t>D</t>
  </si>
  <si>
    <t>dB</t>
  </si>
  <si>
    <t>deg</t>
  </si>
  <si>
    <t>Complex Values</t>
  </si>
  <si>
    <t>Complex Ratios</t>
  </si>
  <si>
    <t>Actual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</si>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</sst>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00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6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Font="1"/>
    <xf numFmtId="11" fontId="0" fillId="0" borderId="0" xfId="0" applyNumberFormat="1" applyFont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Flat Sweep and Noise Floor</a:t>
            </a:r>
          </a:p>
          <a:p>
            <a:pPr>
              <a:defRPr sz="1800"/>
            </a:pPr>
            <a:r>
              <a:rPr lang="en-US" sz="1800"/>
              <a:t>6 June 2026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462953913849004"/>
          <c:y val="0.133980582524272"/>
          <c:w val="0.916829666512274"/>
          <c:h val="0.770712789542084"/>
        </c:manualLayout>
      </c:layout>
      <c:scatterChart>
        <c:scatterStyle val="lineMarker"/>
        <c:varyColors val="0"/>
        <c:ser>
          <c:idx val="0"/>
          <c:order val="0"/>
          <c:tx>
            <c:v>Left Chan (dB)</c:v>
          </c:tx>
          <c:spPr>
            <a:ln w="47625">
              <a:noFill/>
            </a:ln>
          </c:spPr>
          <c:xVal>
            <c:numRef>
              <c:f>'Measured Response'!$A$13:$A$74</c:f>
              <c:numCache>
                <c:formatCode>General</c:formatCode>
                <c:ptCount val="62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  <c:pt idx="31">
                  <c:v>16.001451</c:v>
                </c:pt>
                <c:pt idx="32">
                  <c:v>20.143118</c:v>
                </c:pt>
                <c:pt idx="33">
                  <c:v>25.362768</c:v>
                </c:pt>
                <c:pt idx="34">
                  <c:v>31.929302</c:v>
                </c:pt>
                <c:pt idx="35">
                  <c:v>40.195312</c:v>
                </c:pt>
                <c:pt idx="36">
                  <c:v>50.597405</c:v>
                </c:pt>
                <c:pt idx="37">
                  <c:v>63.69847</c:v>
                </c:pt>
                <c:pt idx="38">
                  <c:v>80.201261</c:v>
                </c:pt>
                <c:pt idx="39">
                  <c:v>100.968027</c:v>
                </c:pt>
                <c:pt idx="40">
                  <c:v>127.10439</c:v>
                </c:pt>
                <c:pt idx="41">
                  <c:v>160.007022</c:v>
                </c:pt>
                <c:pt idx="42">
                  <c:v>201.456349</c:v>
                </c:pt>
                <c:pt idx="43">
                  <c:v>253.585211</c:v>
                </c:pt>
                <c:pt idx="44">
                  <c:v>319.290075</c:v>
                </c:pt>
                <c:pt idx="45">
                  <c:v>401.94414</c:v>
                </c:pt>
                <c:pt idx="46">
                  <c:v>506.015299</c:v>
                </c:pt>
                <c:pt idx="47">
                  <c:v>636.97723</c:v>
                </c:pt>
                <c:pt idx="48">
                  <c:v>801.911445</c:v>
                </c:pt>
                <c:pt idx="49">
                  <c:v>1009.546788</c:v>
                </c:pt>
                <c:pt idx="50">
                  <c:v>1271.06546</c:v>
                </c:pt>
                <c:pt idx="51">
                  <c:v>1600.019278</c:v>
                </c:pt>
                <c:pt idx="52">
                  <c:v>2014.313892</c:v>
                </c:pt>
                <c:pt idx="53">
                  <c:v>2536.107678</c:v>
                </c:pt>
                <c:pt idx="54">
                  <c:v>3192.521598</c:v>
                </c:pt>
                <c:pt idx="55">
                  <c:v>4019.460315</c:v>
                </c:pt>
                <c:pt idx="56">
                  <c:v>5059.790831</c:v>
                </c:pt>
                <c:pt idx="57">
                  <c:v>6369.735421</c:v>
                </c:pt>
                <c:pt idx="58">
                  <c:v>8019.263685</c:v>
                </c:pt>
                <c:pt idx="59">
                  <c:v>10096.471541</c:v>
                </c:pt>
                <c:pt idx="60">
                  <c:v>12710.556156</c:v>
                </c:pt>
                <c:pt idx="61">
                  <c:v>16000.960204</c:v>
                </c:pt>
              </c:numCache>
            </c:numRef>
          </c:xVal>
          <c:yVal>
            <c:numRef>
              <c:f>'Measured Response'!$N$13:$N$74</c:f>
              <c:numCache>
                <c:formatCode>General</c:formatCode>
                <c:ptCount val="62"/>
                <c:pt idx="0">
                  <c:v>132.0657485917124</c:v>
                </c:pt>
                <c:pt idx="1">
                  <c:v>132.0848760012177</c:v>
                </c:pt>
                <c:pt idx="2">
                  <c:v>132.0968871265093</c:v>
                </c:pt>
                <c:pt idx="3">
                  <c:v>132.1045948788733</c:v>
                </c:pt>
                <c:pt idx="4">
                  <c:v>132.1095316803224</c:v>
                </c:pt>
                <c:pt idx="5">
                  <c:v>132.112726254698</c:v>
                </c:pt>
                <c:pt idx="6">
                  <c:v>132.1148197560311</c:v>
                </c:pt>
                <c:pt idx="7">
                  <c:v>132.1160881248827</c:v>
                </c:pt>
                <c:pt idx="8">
                  <c:v>132.1169175483015</c:v>
                </c:pt>
                <c:pt idx="9">
                  <c:v>132.1173807072111</c:v>
                </c:pt>
                <c:pt idx="10">
                  <c:v>132.1175520884854</c:v>
                </c:pt>
                <c:pt idx="11">
                  <c:v>132.1176663385831</c:v>
                </c:pt>
                <c:pt idx="12">
                  <c:v>132.1176454824936</c:v>
                </c:pt>
                <c:pt idx="13">
                  <c:v>132.1173321207775</c:v>
                </c:pt>
                <c:pt idx="14">
                  <c:v>132.1167854851342</c:v>
                </c:pt>
                <c:pt idx="15">
                  <c:v>132.116191307862</c:v>
                </c:pt>
                <c:pt idx="16">
                  <c:v>132.1154571726512</c:v>
                </c:pt>
                <c:pt idx="17">
                  <c:v>132.1148623527309</c:v>
                </c:pt>
                <c:pt idx="18">
                  <c:v>132.1144484435441</c:v>
                </c:pt>
                <c:pt idx="19">
                  <c:v>132.113693651685</c:v>
                </c:pt>
                <c:pt idx="20">
                  <c:v>132.1104190742014</c:v>
                </c:pt>
                <c:pt idx="21">
                  <c:v>132.104322527594</c:v>
                </c:pt>
                <c:pt idx="22">
                  <c:v>132.0986181943413</c:v>
                </c:pt>
                <c:pt idx="23">
                  <c:v>132.0870624016135</c:v>
                </c:pt>
                <c:pt idx="24">
                  <c:v>132.0720936908023</c:v>
                </c:pt>
                <c:pt idx="25">
                  <c:v>132.047359850761</c:v>
                </c:pt>
                <c:pt idx="26">
                  <c:v>132.0151671409711</c:v>
                </c:pt>
                <c:pt idx="27">
                  <c:v>131.9758927577289</c:v>
                </c:pt>
                <c:pt idx="28">
                  <c:v>131.9291728308878</c:v>
                </c:pt>
                <c:pt idx="29">
                  <c:v>131.8798881867116</c:v>
                </c:pt>
                <c:pt idx="30">
                  <c:v>131.8115927522525</c:v>
                </c:pt>
                <c:pt idx="31">
                  <c:v>132.0671711687413</c:v>
                </c:pt>
                <c:pt idx="32">
                  <c:v>132.0863796693098</c:v>
                </c:pt>
                <c:pt idx="33">
                  <c:v>132.0982800974167</c:v>
                </c:pt>
                <c:pt idx="34">
                  <c:v>132.1060745127531</c:v>
                </c:pt>
                <c:pt idx="35">
                  <c:v>132.1110369784911</c:v>
                </c:pt>
                <c:pt idx="36">
                  <c:v>132.1141007184478</c:v>
                </c:pt>
                <c:pt idx="37">
                  <c:v>132.1161141012352</c:v>
                </c:pt>
                <c:pt idx="38">
                  <c:v>132.1173986583817</c:v>
                </c:pt>
                <c:pt idx="39">
                  <c:v>132.1181470174922</c:v>
                </c:pt>
                <c:pt idx="40">
                  <c:v>132.1187944993999</c:v>
                </c:pt>
                <c:pt idx="41">
                  <c:v>132.118984796368</c:v>
                </c:pt>
                <c:pt idx="42">
                  <c:v>132.1190201057249</c:v>
                </c:pt>
                <c:pt idx="43">
                  <c:v>132.118893347479</c:v>
                </c:pt>
                <c:pt idx="44">
                  <c:v>132.11856348425</c:v>
                </c:pt>
                <c:pt idx="45">
                  <c:v>132.1180879978275</c:v>
                </c:pt>
                <c:pt idx="46">
                  <c:v>132.1174315973866</c:v>
                </c:pt>
                <c:pt idx="47">
                  <c:v>132.1167280920033</c:v>
                </c:pt>
                <c:pt idx="48">
                  <c:v>132.1161313987133</c:v>
                </c:pt>
                <c:pt idx="49">
                  <c:v>132.115705068671</c:v>
                </c:pt>
                <c:pt idx="50">
                  <c:v>132.1148646702019</c:v>
                </c:pt>
                <c:pt idx="51">
                  <c:v>132.111663223755</c:v>
                </c:pt>
                <c:pt idx="52">
                  <c:v>132.1054661951912</c:v>
                </c:pt>
                <c:pt idx="53">
                  <c:v>132.0998543100079</c:v>
                </c:pt>
                <c:pt idx="54">
                  <c:v>132.0881584294071</c:v>
                </c:pt>
                <c:pt idx="55">
                  <c:v>132.0732007219046</c:v>
                </c:pt>
                <c:pt idx="56">
                  <c:v>132.0485504962123</c:v>
                </c:pt>
                <c:pt idx="57">
                  <c:v>132.016458154885</c:v>
                </c:pt>
                <c:pt idx="58">
                  <c:v>131.9773279629634</c:v>
                </c:pt>
                <c:pt idx="59">
                  <c:v>131.9305211123721</c:v>
                </c:pt>
                <c:pt idx="60">
                  <c:v>131.8813916964305</c:v>
                </c:pt>
                <c:pt idx="61">
                  <c:v>131.812998614294</c:v>
                </c:pt>
              </c:numCache>
            </c:numRef>
          </c:yVal>
          <c:smooth val="0"/>
        </c:ser>
        <c:ser>
          <c:idx val="1"/>
          <c:order val="1"/>
          <c:tx>
            <c:v>Left Quiet (dB)</c:v>
          </c:tx>
          <c:spPr>
            <a:ln w="47625">
              <a:noFill/>
            </a:ln>
          </c:spPr>
          <c:xVal>
            <c:numRef>
              <c:f>'Measured Response'!$A$13:$A$74</c:f>
              <c:numCache>
                <c:formatCode>General</c:formatCode>
                <c:ptCount val="62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  <c:pt idx="31">
                  <c:v>16.001451</c:v>
                </c:pt>
                <c:pt idx="32">
                  <c:v>20.143118</c:v>
                </c:pt>
                <c:pt idx="33">
                  <c:v>25.362768</c:v>
                </c:pt>
                <c:pt idx="34">
                  <c:v>31.929302</c:v>
                </c:pt>
                <c:pt idx="35">
                  <c:v>40.195312</c:v>
                </c:pt>
                <c:pt idx="36">
                  <c:v>50.597405</c:v>
                </c:pt>
                <c:pt idx="37">
                  <c:v>63.69847</c:v>
                </c:pt>
                <c:pt idx="38">
                  <c:v>80.201261</c:v>
                </c:pt>
                <c:pt idx="39">
                  <c:v>100.968027</c:v>
                </c:pt>
                <c:pt idx="40">
                  <c:v>127.10439</c:v>
                </c:pt>
                <c:pt idx="41">
                  <c:v>160.007022</c:v>
                </c:pt>
                <c:pt idx="42">
                  <c:v>201.456349</c:v>
                </c:pt>
                <c:pt idx="43">
                  <c:v>253.585211</c:v>
                </c:pt>
                <c:pt idx="44">
                  <c:v>319.290075</c:v>
                </c:pt>
                <c:pt idx="45">
                  <c:v>401.94414</c:v>
                </c:pt>
                <c:pt idx="46">
                  <c:v>506.015299</c:v>
                </c:pt>
                <c:pt idx="47">
                  <c:v>636.97723</c:v>
                </c:pt>
                <c:pt idx="48">
                  <c:v>801.911445</c:v>
                </c:pt>
                <c:pt idx="49">
                  <c:v>1009.546788</c:v>
                </c:pt>
                <c:pt idx="50">
                  <c:v>1271.06546</c:v>
                </c:pt>
                <c:pt idx="51">
                  <c:v>1600.019278</c:v>
                </c:pt>
                <c:pt idx="52">
                  <c:v>2014.313892</c:v>
                </c:pt>
                <c:pt idx="53">
                  <c:v>2536.107678</c:v>
                </c:pt>
                <c:pt idx="54">
                  <c:v>3192.521598</c:v>
                </c:pt>
                <c:pt idx="55">
                  <c:v>4019.460315</c:v>
                </c:pt>
                <c:pt idx="56">
                  <c:v>5059.790831</c:v>
                </c:pt>
                <c:pt idx="57">
                  <c:v>6369.735421</c:v>
                </c:pt>
                <c:pt idx="58">
                  <c:v>8019.263685</c:v>
                </c:pt>
                <c:pt idx="59">
                  <c:v>10096.471541</c:v>
                </c:pt>
                <c:pt idx="60">
                  <c:v>12710.556156</c:v>
                </c:pt>
                <c:pt idx="61">
                  <c:v>16000.960204</c:v>
                </c:pt>
              </c:numCache>
            </c:numRef>
          </c:xVal>
          <c:yVal>
            <c:numRef>
              <c:f>'Measured Response'!$O$13:$O$74</c:f>
              <c:numCache>
                <c:formatCode>General</c:formatCode>
                <c:ptCount val="62"/>
                <c:pt idx="0">
                  <c:v>-5.907823338479695</c:v>
                </c:pt>
                <c:pt idx="1">
                  <c:v>-1.717329994458591</c:v>
                </c:pt>
                <c:pt idx="2">
                  <c:v>1.679251496690697</c:v>
                </c:pt>
                <c:pt idx="3">
                  <c:v>-12.42237579435848</c:v>
                </c:pt>
                <c:pt idx="4">
                  <c:v>-6.69533410585402</c:v>
                </c:pt>
                <c:pt idx="5">
                  <c:v>19.9198371541593</c:v>
                </c:pt>
                <c:pt idx="6">
                  <c:v>-4.887993929748515</c:v>
                </c:pt>
                <c:pt idx="7">
                  <c:v>-12.17135969970255</c:v>
                </c:pt>
                <c:pt idx="8">
                  <c:v>-5.301900072105369</c:v>
                </c:pt>
                <c:pt idx="9">
                  <c:v>-6.21421519416612</c:v>
                </c:pt>
                <c:pt idx="10">
                  <c:v>-5.760879171541183</c:v>
                </c:pt>
                <c:pt idx="11">
                  <c:v>-5.639980736750209</c:v>
                </c:pt>
                <c:pt idx="12">
                  <c:v>-5.14014538541974</c:v>
                </c:pt>
                <c:pt idx="13">
                  <c:v>-3.147573225053435</c:v>
                </c:pt>
                <c:pt idx="14">
                  <c:v>-13.65820121946579</c:v>
                </c:pt>
                <c:pt idx="15">
                  <c:v>-12.60495782938225</c:v>
                </c:pt>
                <c:pt idx="16">
                  <c:v>-5.005440718332817</c:v>
                </c:pt>
                <c:pt idx="17">
                  <c:v>-9.009252607699945</c:v>
                </c:pt>
                <c:pt idx="18">
                  <c:v>-0.981629828929294</c:v>
                </c:pt>
                <c:pt idx="19">
                  <c:v>-4.049077859955286</c:v>
                </c:pt>
                <c:pt idx="20">
                  <c:v>-5.225160567294521</c:v>
                </c:pt>
                <c:pt idx="21">
                  <c:v>-2.95795859260433</c:v>
                </c:pt>
                <c:pt idx="22">
                  <c:v>-8.492345947567033</c:v>
                </c:pt>
                <c:pt idx="23">
                  <c:v>0.138252959002994</c:v>
                </c:pt>
                <c:pt idx="24">
                  <c:v>-8.913931792536227</c:v>
                </c:pt>
                <c:pt idx="25">
                  <c:v>-4.245683914225461</c:v>
                </c:pt>
                <c:pt idx="26">
                  <c:v>1.388133345339109</c:v>
                </c:pt>
                <c:pt idx="27">
                  <c:v>1.178275374283991</c:v>
                </c:pt>
                <c:pt idx="28">
                  <c:v>4.223150287659123</c:v>
                </c:pt>
                <c:pt idx="29">
                  <c:v>-1.233103044500463</c:v>
                </c:pt>
                <c:pt idx="30">
                  <c:v>1.043063873750903</c:v>
                </c:pt>
                <c:pt idx="31">
                  <c:v>-0.58296982186034</c:v>
                </c:pt>
                <c:pt idx="32">
                  <c:v>-5.871449321283984</c:v>
                </c:pt>
                <c:pt idx="33">
                  <c:v>2.173829920124367</c:v>
                </c:pt>
                <c:pt idx="34">
                  <c:v>-2.11565245600175</c:v>
                </c:pt>
                <c:pt idx="35">
                  <c:v>-3.666588550855676</c:v>
                </c:pt>
                <c:pt idx="36">
                  <c:v>19.03429956375358</c:v>
                </c:pt>
                <c:pt idx="37">
                  <c:v>-14.42268029923534</c:v>
                </c:pt>
                <c:pt idx="38">
                  <c:v>-4.59330128547395</c:v>
                </c:pt>
                <c:pt idx="39">
                  <c:v>3.460436349422722</c:v>
                </c:pt>
                <c:pt idx="40">
                  <c:v>-1.441631668048453</c:v>
                </c:pt>
                <c:pt idx="41">
                  <c:v>-1.993522940645731</c:v>
                </c:pt>
                <c:pt idx="42">
                  <c:v>-19.14334323658932</c:v>
                </c:pt>
                <c:pt idx="43">
                  <c:v>-4.410172233602811</c:v>
                </c:pt>
                <c:pt idx="44">
                  <c:v>0.583076627877686</c:v>
                </c:pt>
                <c:pt idx="45">
                  <c:v>-3.614933601157826</c:v>
                </c:pt>
                <c:pt idx="46">
                  <c:v>-2.06151237807089</c:v>
                </c:pt>
                <c:pt idx="47">
                  <c:v>-4.940311302944816</c:v>
                </c:pt>
                <c:pt idx="48">
                  <c:v>-11.98473437086081</c:v>
                </c:pt>
                <c:pt idx="49">
                  <c:v>-6.453059776071831</c:v>
                </c:pt>
                <c:pt idx="50">
                  <c:v>-6.523138910111056</c:v>
                </c:pt>
                <c:pt idx="51">
                  <c:v>-6.339435356561546</c:v>
                </c:pt>
                <c:pt idx="52">
                  <c:v>-4.296675304683007</c:v>
                </c:pt>
                <c:pt idx="53">
                  <c:v>-0.479492477145773</c:v>
                </c:pt>
                <c:pt idx="54">
                  <c:v>-5.110077339772021</c:v>
                </c:pt>
                <c:pt idx="55">
                  <c:v>1.46833533033608</c:v>
                </c:pt>
                <c:pt idx="56">
                  <c:v>-1.825270976266817</c:v>
                </c:pt>
                <c:pt idx="57">
                  <c:v>-2.459435905637039</c:v>
                </c:pt>
                <c:pt idx="58">
                  <c:v>1.394557180368829</c:v>
                </c:pt>
                <c:pt idx="59">
                  <c:v>-3.538304596320452</c:v>
                </c:pt>
                <c:pt idx="60">
                  <c:v>-10.25718169787558</c:v>
                </c:pt>
                <c:pt idx="61">
                  <c:v>-7.850532072289649</c:v>
                </c:pt>
              </c:numCache>
            </c:numRef>
          </c:yVal>
          <c:smooth val="0"/>
        </c:ser>
        <c:ser>
          <c:idx val="2"/>
          <c:order val="2"/>
          <c:tx>
            <c:v>Right Chan (dB)</c:v>
          </c:tx>
          <c:spPr>
            <a:ln w="47625">
              <a:noFill/>
            </a:ln>
          </c:spPr>
          <c:xVal>
            <c:numRef>
              <c:f>'Measured Response'!$A$13:$A$74</c:f>
              <c:numCache>
                <c:formatCode>General</c:formatCode>
                <c:ptCount val="62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  <c:pt idx="31">
                  <c:v>16.001451</c:v>
                </c:pt>
                <c:pt idx="32">
                  <c:v>20.143118</c:v>
                </c:pt>
                <c:pt idx="33">
                  <c:v>25.362768</c:v>
                </c:pt>
                <c:pt idx="34">
                  <c:v>31.929302</c:v>
                </c:pt>
                <c:pt idx="35">
                  <c:v>40.195312</c:v>
                </c:pt>
                <c:pt idx="36">
                  <c:v>50.597405</c:v>
                </c:pt>
                <c:pt idx="37">
                  <c:v>63.69847</c:v>
                </c:pt>
                <c:pt idx="38">
                  <c:v>80.201261</c:v>
                </c:pt>
                <c:pt idx="39">
                  <c:v>100.968027</c:v>
                </c:pt>
                <c:pt idx="40">
                  <c:v>127.10439</c:v>
                </c:pt>
                <c:pt idx="41">
                  <c:v>160.007022</c:v>
                </c:pt>
                <c:pt idx="42">
                  <c:v>201.456349</c:v>
                </c:pt>
                <c:pt idx="43">
                  <c:v>253.585211</c:v>
                </c:pt>
                <c:pt idx="44">
                  <c:v>319.290075</c:v>
                </c:pt>
                <c:pt idx="45">
                  <c:v>401.94414</c:v>
                </c:pt>
                <c:pt idx="46">
                  <c:v>506.015299</c:v>
                </c:pt>
                <c:pt idx="47">
                  <c:v>636.97723</c:v>
                </c:pt>
                <c:pt idx="48">
                  <c:v>801.911445</c:v>
                </c:pt>
                <c:pt idx="49">
                  <c:v>1009.546788</c:v>
                </c:pt>
                <c:pt idx="50">
                  <c:v>1271.06546</c:v>
                </c:pt>
                <c:pt idx="51">
                  <c:v>1600.019278</c:v>
                </c:pt>
                <c:pt idx="52">
                  <c:v>2014.313892</c:v>
                </c:pt>
                <c:pt idx="53">
                  <c:v>2536.107678</c:v>
                </c:pt>
                <c:pt idx="54">
                  <c:v>3192.521598</c:v>
                </c:pt>
                <c:pt idx="55">
                  <c:v>4019.460315</c:v>
                </c:pt>
                <c:pt idx="56">
                  <c:v>5059.790831</c:v>
                </c:pt>
                <c:pt idx="57">
                  <c:v>6369.735421</c:v>
                </c:pt>
                <c:pt idx="58">
                  <c:v>8019.263685</c:v>
                </c:pt>
                <c:pt idx="59">
                  <c:v>10096.471541</c:v>
                </c:pt>
                <c:pt idx="60">
                  <c:v>12710.556156</c:v>
                </c:pt>
                <c:pt idx="61">
                  <c:v>16000.960204</c:v>
                </c:pt>
              </c:numCache>
            </c:numRef>
          </c:xVal>
          <c:yVal>
            <c:numRef>
              <c:f>'Measured Response'!$P$13:$P$74</c:f>
              <c:numCache>
                <c:formatCode>General</c:formatCode>
                <c:ptCount val="62"/>
                <c:pt idx="0">
                  <c:v>132.1447971123783</c:v>
                </c:pt>
                <c:pt idx="1">
                  <c:v>132.1638982971704</c:v>
                </c:pt>
                <c:pt idx="2">
                  <c:v>132.1759263982198</c:v>
                </c:pt>
                <c:pt idx="3">
                  <c:v>132.1836510733637</c:v>
                </c:pt>
                <c:pt idx="4">
                  <c:v>132.1885607289996</c:v>
                </c:pt>
                <c:pt idx="5">
                  <c:v>132.1917501635616</c:v>
                </c:pt>
                <c:pt idx="6">
                  <c:v>132.1938722509264</c:v>
                </c:pt>
                <c:pt idx="7">
                  <c:v>132.1951345587227</c:v>
                </c:pt>
                <c:pt idx="8">
                  <c:v>132.1959574199098</c:v>
                </c:pt>
                <c:pt idx="9">
                  <c:v>132.196404354148</c:v>
                </c:pt>
                <c:pt idx="10">
                  <c:v>132.1966176441058</c:v>
                </c:pt>
                <c:pt idx="11">
                  <c:v>132.1967190820165</c:v>
                </c:pt>
                <c:pt idx="12">
                  <c:v>132.1967556998588</c:v>
                </c:pt>
                <c:pt idx="13">
                  <c:v>132.1964556504684</c:v>
                </c:pt>
                <c:pt idx="14">
                  <c:v>132.1959701116786</c:v>
                </c:pt>
                <c:pt idx="15">
                  <c:v>132.195492380834</c:v>
                </c:pt>
                <c:pt idx="16">
                  <c:v>132.194901306029</c:v>
                </c:pt>
                <c:pt idx="17">
                  <c:v>132.1945180069837</c:v>
                </c:pt>
                <c:pt idx="18">
                  <c:v>132.1944885582186</c:v>
                </c:pt>
                <c:pt idx="19">
                  <c:v>132.1942941327948</c:v>
                </c:pt>
                <c:pt idx="20">
                  <c:v>132.1919879974166</c:v>
                </c:pt>
                <c:pt idx="21">
                  <c:v>132.1873937305177</c:v>
                </c:pt>
                <c:pt idx="22">
                  <c:v>132.1839436694401</c:v>
                </c:pt>
                <c:pt idx="23">
                  <c:v>132.1758519282226</c:v>
                </c:pt>
                <c:pt idx="24">
                  <c:v>132.1661058681011</c:v>
                </c:pt>
                <c:pt idx="25">
                  <c:v>132.148943143136</c:v>
                </c:pt>
                <c:pt idx="26">
                  <c:v>132.1273101353878</c:v>
                </c:pt>
                <c:pt idx="27">
                  <c:v>132.1019595257239</c:v>
                </c:pt>
                <c:pt idx="28">
                  <c:v>132.0722061433165</c:v>
                </c:pt>
                <c:pt idx="29">
                  <c:v>132.0419286253164</c:v>
                </c:pt>
                <c:pt idx="30">
                  <c:v>131.9932070493562</c:v>
                </c:pt>
                <c:pt idx="31">
                  <c:v>132.1461338448489</c:v>
                </c:pt>
                <c:pt idx="32">
                  <c:v>132.1653267032579</c:v>
                </c:pt>
                <c:pt idx="33">
                  <c:v>132.1772206542719</c:v>
                </c:pt>
                <c:pt idx="34">
                  <c:v>132.1850055505867</c:v>
                </c:pt>
                <c:pt idx="35">
                  <c:v>132.1899932416436</c:v>
                </c:pt>
                <c:pt idx="36">
                  <c:v>132.1930262857964</c:v>
                </c:pt>
                <c:pt idx="37">
                  <c:v>132.1950634877827</c:v>
                </c:pt>
                <c:pt idx="38">
                  <c:v>132.196339654694</c:v>
                </c:pt>
                <c:pt idx="39">
                  <c:v>132.1971133694219</c:v>
                </c:pt>
                <c:pt idx="40">
                  <c:v>132.197758293489</c:v>
                </c:pt>
                <c:pt idx="41">
                  <c:v>132.197967384161</c:v>
                </c:pt>
                <c:pt idx="42">
                  <c:v>132.1980211927733</c:v>
                </c:pt>
                <c:pt idx="43">
                  <c:v>132.1978997100334</c:v>
                </c:pt>
                <c:pt idx="44">
                  <c:v>132.1975932295364</c:v>
                </c:pt>
                <c:pt idx="45">
                  <c:v>132.1971703211094</c:v>
                </c:pt>
                <c:pt idx="46">
                  <c:v>132.1966356214644</c:v>
                </c:pt>
                <c:pt idx="47">
                  <c:v>132.1960695678659</c:v>
                </c:pt>
                <c:pt idx="48">
                  <c:v>132.1957116344125</c:v>
                </c:pt>
                <c:pt idx="49">
                  <c:v>132.1956396880193</c:v>
                </c:pt>
                <c:pt idx="50">
                  <c:v>132.1953853961725</c:v>
                </c:pt>
                <c:pt idx="51">
                  <c:v>132.1931363929695</c:v>
                </c:pt>
                <c:pt idx="52">
                  <c:v>132.1884259637136</c:v>
                </c:pt>
                <c:pt idx="53">
                  <c:v>132.1850865583382</c:v>
                </c:pt>
                <c:pt idx="54">
                  <c:v>132.1768598378824</c:v>
                </c:pt>
                <c:pt idx="55">
                  <c:v>132.1670552077781</c:v>
                </c:pt>
                <c:pt idx="56">
                  <c:v>132.1499501119563</c:v>
                </c:pt>
                <c:pt idx="57">
                  <c:v>132.12836758697</c:v>
                </c:pt>
                <c:pt idx="58">
                  <c:v>132.1030615172802</c:v>
                </c:pt>
                <c:pt idx="59">
                  <c:v>132.0732258754085</c:v>
                </c:pt>
                <c:pt idx="60">
                  <c:v>132.0430374354576</c:v>
                </c:pt>
                <c:pt idx="61">
                  <c:v>131.9941808149053</c:v>
                </c:pt>
              </c:numCache>
            </c:numRef>
          </c:yVal>
          <c:smooth val="0"/>
        </c:ser>
        <c:ser>
          <c:idx val="3"/>
          <c:order val="3"/>
          <c:tx>
            <c:v>Right Quiet (dB)</c:v>
          </c:tx>
          <c:spPr>
            <a:ln w="47625">
              <a:noFill/>
            </a:ln>
          </c:spPr>
          <c:xVal>
            <c:numRef>
              <c:f>'Measured Response'!$A$13:$A$74</c:f>
              <c:numCache>
                <c:formatCode>General</c:formatCode>
                <c:ptCount val="62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  <c:pt idx="31">
                  <c:v>16.001451</c:v>
                </c:pt>
                <c:pt idx="32">
                  <c:v>20.143118</c:v>
                </c:pt>
                <c:pt idx="33">
                  <c:v>25.362768</c:v>
                </c:pt>
                <c:pt idx="34">
                  <c:v>31.929302</c:v>
                </c:pt>
                <c:pt idx="35">
                  <c:v>40.195312</c:v>
                </c:pt>
                <c:pt idx="36">
                  <c:v>50.597405</c:v>
                </c:pt>
                <c:pt idx="37">
                  <c:v>63.69847</c:v>
                </c:pt>
                <c:pt idx="38">
                  <c:v>80.201261</c:v>
                </c:pt>
                <c:pt idx="39">
                  <c:v>100.968027</c:v>
                </c:pt>
                <c:pt idx="40">
                  <c:v>127.10439</c:v>
                </c:pt>
                <c:pt idx="41">
                  <c:v>160.007022</c:v>
                </c:pt>
                <c:pt idx="42">
                  <c:v>201.456349</c:v>
                </c:pt>
                <c:pt idx="43">
                  <c:v>253.585211</c:v>
                </c:pt>
                <c:pt idx="44">
                  <c:v>319.290075</c:v>
                </c:pt>
                <c:pt idx="45">
                  <c:v>401.94414</c:v>
                </c:pt>
                <c:pt idx="46">
                  <c:v>506.015299</c:v>
                </c:pt>
                <c:pt idx="47">
                  <c:v>636.97723</c:v>
                </c:pt>
                <c:pt idx="48">
                  <c:v>801.911445</c:v>
                </c:pt>
                <c:pt idx="49">
                  <c:v>1009.546788</c:v>
                </c:pt>
                <c:pt idx="50">
                  <c:v>1271.06546</c:v>
                </c:pt>
                <c:pt idx="51">
                  <c:v>1600.019278</c:v>
                </c:pt>
                <c:pt idx="52">
                  <c:v>2014.313892</c:v>
                </c:pt>
                <c:pt idx="53">
                  <c:v>2536.107678</c:v>
                </c:pt>
                <c:pt idx="54">
                  <c:v>3192.521598</c:v>
                </c:pt>
                <c:pt idx="55">
                  <c:v>4019.460315</c:v>
                </c:pt>
                <c:pt idx="56">
                  <c:v>5059.790831</c:v>
                </c:pt>
                <c:pt idx="57">
                  <c:v>6369.735421</c:v>
                </c:pt>
                <c:pt idx="58">
                  <c:v>8019.263685</c:v>
                </c:pt>
                <c:pt idx="59">
                  <c:v>10096.471541</c:v>
                </c:pt>
                <c:pt idx="60">
                  <c:v>12710.556156</c:v>
                </c:pt>
                <c:pt idx="61">
                  <c:v>16000.960204</c:v>
                </c:pt>
              </c:numCache>
            </c:numRef>
          </c:xVal>
          <c:yVal>
            <c:numRef>
              <c:f>'Measured Response'!$Q$13:$Q$74</c:f>
              <c:numCache>
                <c:formatCode>General</c:formatCode>
                <c:ptCount val="62"/>
                <c:pt idx="0">
                  <c:v>-12.97696816151737</c:v>
                </c:pt>
                <c:pt idx="1">
                  <c:v>-0.860741950223803</c:v>
                </c:pt>
                <c:pt idx="2">
                  <c:v>-12.15066572626478</c:v>
                </c:pt>
                <c:pt idx="3">
                  <c:v>-4.355396264285121</c:v>
                </c:pt>
                <c:pt idx="4">
                  <c:v>-1.826268851727494</c:v>
                </c:pt>
                <c:pt idx="5">
                  <c:v>19.57617087228162</c:v>
                </c:pt>
                <c:pt idx="6">
                  <c:v>-14.83984125277064</c:v>
                </c:pt>
                <c:pt idx="7">
                  <c:v>-2.767189383420834</c:v>
                </c:pt>
                <c:pt idx="8">
                  <c:v>-19.90252110903152</c:v>
                </c:pt>
                <c:pt idx="9">
                  <c:v>-2.153172530138189</c:v>
                </c:pt>
                <c:pt idx="10">
                  <c:v>-1.448950950617534</c:v>
                </c:pt>
                <c:pt idx="11">
                  <c:v>1.359825025866586</c:v>
                </c:pt>
                <c:pt idx="12">
                  <c:v>-11.74820239421615</c:v>
                </c:pt>
                <c:pt idx="13">
                  <c:v>-4.111878301830388</c:v>
                </c:pt>
                <c:pt idx="14">
                  <c:v>-16.24327400683075</c:v>
                </c:pt>
                <c:pt idx="15">
                  <c:v>0.922209203262487</c:v>
                </c:pt>
                <c:pt idx="16">
                  <c:v>2.739464730677935</c:v>
                </c:pt>
                <c:pt idx="17">
                  <c:v>-3.903890359234338</c:v>
                </c:pt>
                <c:pt idx="18">
                  <c:v>-8.563600301097338</c:v>
                </c:pt>
                <c:pt idx="19">
                  <c:v>-23.87500384183077</c:v>
                </c:pt>
                <c:pt idx="20">
                  <c:v>-14.2449066049254</c:v>
                </c:pt>
                <c:pt idx="21">
                  <c:v>-9.71311670158013</c:v>
                </c:pt>
                <c:pt idx="22">
                  <c:v>-5.27558628364324</c:v>
                </c:pt>
                <c:pt idx="23">
                  <c:v>3.058190084455423</c:v>
                </c:pt>
                <c:pt idx="24">
                  <c:v>-2.002491035825451</c:v>
                </c:pt>
                <c:pt idx="25">
                  <c:v>-1.682548543414152</c:v>
                </c:pt>
                <c:pt idx="26">
                  <c:v>-3.085688934217323</c:v>
                </c:pt>
                <c:pt idx="27">
                  <c:v>-6.813251636436636</c:v>
                </c:pt>
                <c:pt idx="28">
                  <c:v>-2.860681770138295</c:v>
                </c:pt>
                <c:pt idx="29">
                  <c:v>-8.342957496239133</c:v>
                </c:pt>
                <c:pt idx="30">
                  <c:v>-2.915344334140313</c:v>
                </c:pt>
                <c:pt idx="31">
                  <c:v>-1.584452448488728</c:v>
                </c:pt>
                <c:pt idx="32">
                  <c:v>-4.113232506570847</c:v>
                </c:pt>
                <c:pt idx="33">
                  <c:v>-1.719470319230729</c:v>
                </c:pt>
                <c:pt idx="34">
                  <c:v>6.657443217609112</c:v>
                </c:pt>
                <c:pt idx="35">
                  <c:v>-0.695322321200378</c:v>
                </c:pt>
                <c:pt idx="36">
                  <c:v>17.5891233803002</c:v>
                </c:pt>
                <c:pt idx="37">
                  <c:v>-6.415094165522034</c:v>
                </c:pt>
                <c:pt idx="38">
                  <c:v>-5.099899096315802</c:v>
                </c:pt>
                <c:pt idx="39">
                  <c:v>0.248955688734996</c:v>
                </c:pt>
                <c:pt idx="40">
                  <c:v>5.028857392485087</c:v>
                </c:pt>
                <c:pt idx="41">
                  <c:v>-6.192677126246279</c:v>
                </c:pt>
                <c:pt idx="42">
                  <c:v>-3.276785498047664</c:v>
                </c:pt>
                <c:pt idx="43">
                  <c:v>-2.607736493848227</c:v>
                </c:pt>
                <c:pt idx="44">
                  <c:v>-2.969494791944541</c:v>
                </c:pt>
                <c:pt idx="45">
                  <c:v>0.354350007453459</c:v>
                </c:pt>
                <c:pt idx="46">
                  <c:v>-7.915244062804005</c:v>
                </c:pt>
                <c:pt idx="47">
                  <c:v>3.725450886426751</c:v>
                </c:pt>
                <c:pt idx="48">
                  <c:v>1.456528227532428</c:v>
                </c:pt>
                <c:pt idx="49">
                  <c:v>-4.601494041188154</c:v>
                </c:pt>
                <c:pt idx="50">
                  <c:v>-5.131399466897419</c:v>
                </c:pt>
                <c:pt idx="51">
                  <c:v>-9.024095048788874</c:v>
                </c:pt>
                <c:pt idx="52">
                  <c:v>-0.0389516595253681</c:v>
                </c:pt>
                <c:pt idx="53">
                  <c:v>2.284904435388582</c:v>
                </c:pt>
                <c:pt idx="54">
                  <c:v>-4.789017458874384</c:v>
                </c:pt>
                <c:pt idx="55">
                  <c:v>-0.0836224071096416</c:v>
                </c:pt>
                <c:pt idx="56">
                  <c:v>-14.4502505085177</c:v>
                </c:pt>
                <c:pt idx="57">
                  <c:v>-3.312902572380603</c:v>
                </c:pt>
                <c:pt idx="58">
                  <c:v>-8.670594988630321</c:v>
                </c:pt>
                <c:pt idx="59">
                  <c:v>-9.174517232807488</c:v>
                </c:pt>
                <c:pt idx="60">
                  <c:v>-6.948322058876344</c:v>
                </c:pt>
                <c:pt idx="61">
                  <c:v>-3.385476797435611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512344"/>
        <c:axId val="2102724936"/>
      </c:scatterChart>
      <c:valAx>
        <c:axId val="2136512344"/>
        <c:scaling>
          <c:logBase val="10.0"/>
          <c:orientation val="minMax"/>
          <c:max val="16000.0"/>
          <c:min val="16.0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102724936"/>
        <c:crossesAt val="-35.0"/>
        <c:crossBetween val="midCat"/>
        <c:majorUnit val="10.0"/>
        <c:minorUnit val="10.0"/>
      </c:valAx>
      <c:valAx>
        <c:axId val="2102724936"/>
        <c:scaling>
          <c:orientation val="minMax"/>
          <c:max val="140.0"/>
          <c:min val="-35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136512344"/>
        <c:crossesAt val="16.0"/>
        <c:crossBetween val="midCat"/>
        <c:majorUnit val="25.0"/>
      </c:valAx>
    </c:plotArea>
    <c:legend>
      <c:legendPos val="b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Flat Sweep with Outboard DAC</a:t>
            </a:r>
          </a:p>
          <a:p>
            <a:pPr>
              <a:defRPr/>
            </a:pPr>
            <a:r>
              <a:rPr lang="en-US"/>
              <a:t>6 June 2026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631793674095823"/>
          <c:y val="0.139511074318731"/>
          <c:w val="0.894320699319365"/>
          <c:h val="0.731485138654614"/>
        </c:manualLayout>
      </c:layout>
      <c:scatterChart>
        <c:scatterStyle val="lineMarker"/>
        <c:varyColors val="0"/>
        <c:ser>
          <c:idx val="0"/>
          <c:order val="0"/>
          <c:tx>
            <c:v>A Ratio (dB)</c:v>
          </c:tx>
          <c:xVal>
            <c:numRef>
              <c:f>'Measured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Response'!$N$80:$N$110</c:f>
              <c:numCache>
                <c:formatCode>General</c:formatCode>
                <c:ptCount val="31"/>
                <c:pt idx="0">
                  <c:v>-0.00142257702887613</c:v>
                </c:pt>
                <c:pt idx="1">
                  <c:v>-0.00150366809212455</c:v>
                </c:pt>
                <c:pt idx="2">
                  <c:v>-0.00139297090740694</c:v>
                </c:pt>
                <c:pt idx="3">
                  <c:v>-0.00147963387977536</c:v>
                </c:pt>
                <c:pt idx="4">
                  <c:v>-0.0015052981687674</c:v>
                </c:pt>
                <c:pt idx="5">
                  <c:v>-0.00137446374973671</c:v>
                </c:pt>
                <c:pt idx="6">
                  <c:v>-0.00129434520411334</c:v>
                </c:pt>
                <c:pt idx="7">
                  <c:v>-0.00131053349896088</c:v>
                </c:pt>
                <c:pt idx="8">
                  <c:v>-0.0012294691906759</c:v>
                </c:pt>
                <c:pt idx="9">
                  <c:v>-0.0014137921888987</c:v>
                </c:pt>
                <c:pt idx="10">
                  <c:v>-0.00143270788258787</c:v>
                </c:pt>
                <c:pt idx="11">
                  <c:v>-0.00135376714177404</c:v>
                </c:pt>
                <c:pt idx="12">
                  <c:v>-0.00124786498540369</c:v>
                </c:pt>
                <c:pt idx="13">
                  <c:v>-0.0012313634724745</c:v>
                </c:pt>
                <c:pt idx="14">
                  <c:v>-0.0013025126933329</c:v>
                </c:pt>
                <c:pt idx="15">
                  <c:v>-0.00124028952459926</c:v>
                </c:pt>
                <c:pt idx="16">
                  <c:v>-0.00127091935207385</c:v>
                </c:pt>
                <c:pt idx="17">
                  <c:v>-0.00126904598237852</c:v>
                </c:pt>
                <c:pt idx="18">
                  <c:v>-0.00125662512685456</c:v>
                </c:pt>
                <c:pt idx="19">
                  <c:v>-0.00117101851698895</c:v>
                </c:pt>
                <c:pt idx="20">
                  <c:v>-0.00124414955354064</c:v>
                </c:pt>
                <c:pt idx="21">
                  <c:v>-0.00114366759714265</c:v>
                </c:pt>
                <c:pt idx="22">
                  <c:v>-0.00123611566652207</c:v>
                </c:pt>
                <c:pt idx="23">
                  <c:v>-0.00109602779349794</c:v>
                </c:pt>
                <c:pt idx="24">
                  <c:v>-0.00110703110230788</c:v>
                </c:pt>
                <c:pt idx="25">
                  <c:v>-0.00119064545133658</c:v>
                </c:pt>
                <c:pt idx="26">
                  <c:v>-0.0012910139139265</c:v>
                </c:pt>
                <c:pt idx="27">
                  <c:v>-0.00143520523447536</c:v>
                </c:pt>
                <c:pt idx="28">
                  <c:v>-0.0013482814843307</c:v>
                </c:pt>
                <c:pt idx="29">
                  <c:v>-0.00150350971884241</c:v>
                </c:pt>
                <c:pt idx="30">
                  <c:v>-0.00140586204152299</c:v>
                </c:pt>
              </c:numCache>
            </c:numRef>
          </c:yVal>
          <c:smooth val="0"/>
        </c:ser>
        <c:ser>
          <c:idx val="2"/>
          <c:order val="1"/>
          <c:tx>
            <c:v>C Ratio (dB)</c:v>
          </c:tx>
          <c:xVal>
            <c:numRef>
              <c:f>'Measured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Response'!$P$80:$P$110</c:f>
              <c:numCache>
                <c:formatCode>General</c:formatCode>
                <c:ptCount val="31"/>
                <c:pt idx="0">
                  <c:v>-0.0013367324706079</c:v>
                </c:pt>
                <c:pt idx="1">
                  <c:v>-0.00142840608744318</c:v>
                </c:pt>
                <c:pt idx="2">
                  <c:v>-0.00129425605217107</c:v>
                </c:pt>
                <c:pt idx="3">
                  <c:v>-0.00135447722293866</c:v>
                </c:pt>
                <c:pt idx="4">
                  <c:v>-0.00143251264396836</c:v>
                </c:pt>
                <c:pt idx="5">
                  <c:v>-0.00127612223479732</c:v>
                </c:pt>
                <c:pt idx="6">
                  <c:v>-0.0011912368562846</c:v>
                </c:pt>
                <c:pt idx="7">
                  <c:v>-0.00120509597128043</c:v>
                </c:pt>
                <c:pt idx="8">
                  <c:v>-0.00115594951208039</c:v>
                </c:pt>
                <c:pt idx="9">
                  <c:v>-0.00135393934100465</c:v>
                </c:pt>
                <c:pt idx="10">
                  <c:v>-0.00134974005511407</c:v>
                </c:pt>
                <c:pt idx="11">
                  <c:v>-0.00130211075681391</c:v>
                </c:pt>
                <c:pt idx="12">
                  <c:v>-0.00114401017458852</c:v>
                </c:pt>
                <c:pt idx="13">
                  <c:v>-0.00113757906793187</c:v>
                </c:pt>
                <c:pt idx="14">
                  <c:v>-0.00120020943086736</c:v>
                </c:pt>
                <c:pt idx="15">
                  <c:v>-0.00114324063041668</c:v>
                </c:pt>
                <c:pt idx="16">
                  <c:v>-0.00116826183694678</c:v>
                </c:pt>
                <c:pt idx="17">
                  <c:v>-0.00119362742874723</c:v>
                </c:pt>
                <c:pt idx="18">
                  <c:v>-0.00115112980075116</c:v>
                </c:pt>
                <c:pt idx="19">
                  <c:v>-0.00109126337773261</c:v>
                </c:pt>
                <c:pt idx="20">
                  <c:v>-0.00114839555297179</c:v>
                </c:pt>
                <c:pt idx="21">
                  <c:v>-0.00103223319592242</c:v>
                </c:pt>
                <c:pt idx="22">
                  <c:v>-0.00114288889816118</c:v>
                </c:pt>
                <c:pt idx="23">
                  <c:v>-0.00100790965988328</c:v>
                </c:pt>
                <c:pt idx="24">
                  <c:v>-0.000949339677026522</c:v>
                </c:pt>
                <c:pt idx="25">
                  <c:v>-0.00100696882037485</c:v>
                </c:pt>
                <c:pt idx="26">
                  <c:v>-0.00105745158215912</c:v>
                </c:pt>
                <c:pt idx="27">
                  <c:v>-0.00110199155630808</c:v>
                </c:pt>
                <c:pt idx="28">
                  <c:v>-0.00101973209206818</c:v>
                </c:pt>
                <c:pt idx="29">
                  <c:v>-0.00110881014130615</c:v>
                </c:pt>
                <c:pt idx="30">
                  <c:v>-0.000973765549169999</c:v>
                </c:pt>
              </c:numCache>
            </c:numRef>
          </c:yVal>
          <c:smooth val="0"/>
        </c:ser>
        <c:ser>
          <c:idx val="4"/>
          <c:order val="2"/>
          <c:tx>
            <c:v>A Ratio (deg)</c:v>
          </c:tx>
          <c:xVal>
            <c:numRef>
              <c:f>'Measured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Response'!$R$80:$R$110</c:f>
              <c:numCache>
                <c:formatCode>General</c:formatCode>
                <c:ptCount val="31"/>
                <c:pt idx="0">
                  <c:v>-0.000110485221924351</c:v>
                </c:pt>
                <c:pt idx="1">
                  <c:v>-4.99219635533092E-5</c:v>
                </c:pt>
                <c:pt idx="2">
                  <c:v>-0.000221784853732553</c:v>
                </c:pt>
                <c:pt idx="3">
                  <c:v>-0.00013401264826616</c:v>
                </c:pt>
                <c:pt idx="4">
                  <c:v>-0.000185460712070633</c:v>
                </c:pt>
                <c:pt idx="5">
                  <c:v>-0.000409866759147674</c:v>
                </c:pt>
                <c:pt idx="6">
                  <c:v>-0.000286243897337679</c:v>
                </c:pt>
                <c:pt idx="7">
                  <c:v>-0.000296495517532867</c:v>
                </c:pt>
                <c:pt idx="8">
                  <c:v>-0.000368923252360697</c:v>
                </c:pt>
                <c:pt idx="9">
                  <c:v>-0.000399007006885097</c:v>
                </c:pt>
                <c:pt idx="10">
                  <c:v>-0.000486453181646299</c:v>
                </c:pt>
                <c:pt idx="11">
                  <c:v>-0.000673027883702336</c:v>
                </c:pt>
                <c:pt idx="12">
                  <c:v>-0.000708792338453004</c:v>
                </c:pt>
                <c:pt idx="13">
                  <c:v>-0.000963182224923829</c:v>
                </c:pt>
                <c:pt idx="14">
                  <c:v>-0.000976719971676616</c:v>
                </c:pt>
                <c:pt idx="15">
                  <c:v>-0.00169360088703091</c:v>
                </c:pt>
                <c:pt idx="16">
                  <c:v>-0.00165783340964968</c:v>
                </c:pt>
                <c:pt idx="17">
                  <c:v>-0.00208196213344587</c:v>
                </c:pt>
                <c:pt idx="18">
                  <c:v>-0.00252813365744831</c:v>
                </c:pt>
                <c:pt idx="19">
                  <c:v>-0.00343080782121514</c:v>
                </c:pt>
                <c:pt idx="20">
                  <c:v>-0.00438739048890226</c:v>
                </c:pt>
                <c:pt idx="21">
                  <c:v>-0.00501568869427069</c:v>
                </c:pt>
                <c:pt idx="22">
                  <c:v>-0.00626835813470996</c:v>
                </c:pt>
                <c:pt idx="23">
                  <c:v>-0.00660612927943717</c:v>
                </c:pt>
                <c:pt idx="24">
                  <c:v>-0.00744502241380347</c:v>
                </c:pt>
                <c:pt idx="25">
                  <c:v>-0.0102190952277464</c:v>
                </c:pt>
                <c:pt idx="26">
                  <c:v>-0.0103870973541222</c:v>
                </c:pt>
                <c:pt idx="27">
                  <c:v>-0.0152669602489197</c:v>
                </c:pt>
                <c:pt idx="28">
                  <c:v>-0.019863845916113</c:v>
                </c:pt>
                <c:pt idx="29">
                  <c:v>-0.0266087178331043</c:v>
                </c:pt>
                <c:pt idx="30">
                  <c:v>-0.0273895500287939</c:v>
                </c:pt>
              </c:numCache>
            </c:numRef>
          </c:yVal>
          <c:smooth val="0"/>
        </c:ser>
        <c:ser>
          <c:idx val="6"/>
          <c:order val="3"/>
          <c:tx>
            <c:v>C Ratio (deg)</c:v>
          </c:tx>
          <c:xVal>
            <c:numRef>
              <c:f>'Measured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Response'!$T$80:$T$110</c:f>
              <c:numCache>
                <c:formatCode>General</c:formatCode>
                <c:ptCount val="31"/>
                <c:pt idx="0">
                  <c:v>-0.000157916011372751</c:v>
                </c:pt>
                <c:pt idx="1">
                  <c:v>-1.2000708060823E-5</c:v>
                </c:pt>
                <c:pt idx="2">
                  <c:v>-0.00017544907120414</c:v>
                </c:pt>
                <c:pt idx="3">
                  <c:v>-9.47661695563708E-5</c:v>
                </c:pt>
                <c:pt idx="4">
                  <c:v>-0.000150154512113835</c:v>
                </c:pt>
                <c:pt idx="5">
                  <c:v>-0.000366710501749581</c:v>
                </c:pt>
                <c:pt idx="6">
                  <c:v>-0.000180803874183939</c:v>
                </c:pt>
                <c:pt idx="7">
                  <c:v>-0.000246532037411105</c:v>
                </c:pt>
                <c:pt idx="8">
                  <c:v>-0.000328640173677325</c:v>
                </c:pt>
                <c:pt idx="9">
                  <c:v>-0.000340447816642465</c:v>
                </c:pt>
                <c:pt idx="10">
                  <c:v>-0.000426847859655305</c:v>
                </c:pt>
                <c:pt idx="11">
                  <c:v>-0.000568930705540443</c:v>
                </c:pt>
                <c:pt idx="12">
                  <c:v>-0.000611414294772212</c:v>
                </c:pt>
                <c:pt idx="13">
                  <c:v>-0.000828843179782109</c:v>
                </c:pt>
                <c:pt idx="14">
                  <c:v>-0.000870372364906494</c:v>
                </c:pt>
                <c:pt idx="15">
                  <c:v>-0.00156741491640343</c:v>
                </c:pt>
                <c:pt idx="16">
                  <c:v>-0.00144067515959721</c:v>
                </c:pt>
                <c:pt idx="17">
                  <c:v>-0.00177706548222181</c:v>
                </c:pt>
                <c:pt idx="18">
                  <c:v>-0.00220671336720493</c:v>
                </c:pt>
                <c:pt idx="19">
                  <c:v>-0.00302614017423999</c:v>
                </c:pt>
                <c:pt idx="20">
                  <c:v>-0.00391164635960333</c:v>
                </c:pt>
                <c:pt idx="21">
                  <c:v>-0.0044159140792862</c:v>
                </c:pt>
                <c:pt idx="22">
                  <c:v>-0.00554873684248706</c:v>
                </c:pt>
                <c:pt idx="23">
                  <c:v>-0.00573398740469501</c:v>
                </c:pt>
                <c:pt idx="24">
                  <c:v>-0.00647229775270224</c:v>
                </c:pt>
                <c:pt idx="25">
                  <c:v>-0.00906340666235167</c:v>
                </c:pt>
                <c:pt idx="26">
                  <c:v>-0.00911460429200398</c:v>
                </c:pt>
                <c:pt idx="27">
                  <c:v>-0.0138916521216</c:v>
                </c:pt>
                <c:pt idx="28">
                  <c:v>-0.0185992159127457</c:v>
                </c:pt>
                <c:pt idx="29">
                  <c:v>-0.0254906475223345</c:v>
                </c:pt>
                <c:pt idx="30">
                  <c:v>-0.0265538236338456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5514600"/>
        <c:axId val="-2145511464"/>
      </c:scatterChart>
      <c:valAx>
        <c:axId val="-2145514600"/>
        <c:scaling>
          <c:logBase val="10.0"/>
          <c:orientation val="minMax"/>
          <c:max val="16000.0"/>
          <c:min val="16.0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2145511464"/>
        <c:crossesAt val="-0.05"/>
        <c:crossBetween val="midCat"/>
        <c:majorUnit val="10.0"/>
        <c:minorUnit val="10.0"/>
      </c:valAx>
      <c:valAx>
        <c:axId val="-2145511464"/>
        <c:scaling>
          <c:orientation val="minMax"/>
          <c:min val="-0.0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2145514600"/>
        <c:crossesAt val="16.0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59" workbookViewId="0" zoomToFit="1"/>
  </sheetViews>
  <pageMargins left="0.75" right="0.75" top="1" bottom="1" header="0.5" footer="0.5"/>
  <pageSetup paperSize="9" orientation="landscape" horizontalDpi="4294967292" verticalDpi="429496729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444500</xdr:colOff>
      <xdr:row>14</xdr:row>
      <xdr:rowOff>101600</xdr:rowOff>
    </xdr:from>
    <xdr:to>
      <xdr:col>15</xdr:col>
      <xdr:colOff>0</xdr:colOff>
      <xdr:row>48</xdr:row>
      <xdr:rowOff>165100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9497" cy="562314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7"/>
  <sheetViews>
    <sheetView workbookViewId="0">
      <selection activeCell="G10" sqref="G10"/>
    </sheetView>
  </sheetViews>
  <sheetFormatPr baseColWidth="10" defaultRowHeight="15" x14ac:dyDescent="0"/>
  <cols>
    <col min="2" max="2" width="19.6640625" customWidth="1"/>
    <col min="3" max="3" width="20.1640625" customWidth="1"/>
    <col min="4" max="4" width="43.33203125" customWidth="1"/>
  </cols>
  <sheetData>
    <row r="2" spans="2:4">
      <c r="B2" s="3" t="s">
        <v>0</v>
      </c>
      <c r="C2">
        <v>16</v>
      </c>
    </row>
    <row r="3" spans="2:4">
      <c r="B3" s="3" t="s">
        <v>1</v>
      </c>
      <c r="C3">
        <v>10</v>
      </c>
    </row>
    <row r="4" spans="2:4">
      <c r="B4" s="3" t="s">
        <v>3</v>
      </c>
      <c r="C4" s="3" t="s">
        <v>2</v>
      </c>
      <c r="D4" s="3" t="s">
        <v>4</v>
      </c>
    </row>
    <row r="5" spans="2:4">
      <c r="D5" s="2" t="s">
        <v>6</v>
      </c>
    </row>
    <row r="6" spans="2:4">
      <c r="B6">
        <v>0</v>
      </c>
      <c r="C6" s="1">
        <f>_startFreq</f>
        <v>16</v>
      </c>
      <c r="D6" t="str">
        <f>CONCATENATE(",{""requestFreq"": ", C6, "}")</f>
        <v>,{"requestFreq": 16}</v>
      </c>
    </row>
    <row r="7" spans="2:4">
      <c r="B7">
        <v>1</v>
      </c>
      <c r="C7" s="1">
        <f>C6*10^(1/_stepsDecade)</f>
        <v>20.142806588706677</v>
      </c>
      <c r="D7" t="str">
        <f t="shared" ref="D7:D36" si="0">CONCATENATE(",{""requestFreq"": ", C7, "}")</f>
        <v>,{"requestFreq": 20.1428065887067}</v>
      </c>
    </row>
    <row r="8" spans="2:4">
      <c r="B8">
        <v>2</v>
      </c>
      <c r="C8" s="1">
        <f>C7*10^(1/_stepsDecade)</f>
        <v>25.358291079377818</v>
      </c>
      <c r="D8" t="str">
        <f t="shared" si="0"/>
        <v>,{"requestFreq": 25.3582910793778}</v>
      </c>
    </row>
    <row r="9" spans="2:4">
      <c r="B9">
        <v>3</v>
      </c>
      <c r="C9" s="1">
        <f>C8*10^(1/_stepsDecade)</f>
        <v>31.924197039502079</v>
      </c>
      <c r="D9" t="str">
        <f t="shared" si="0"/>
        <v>,{"requestFreq": 31.9241970395021}</v>
      </c>
    </row>
    <row r="10" spans="2:4">
      <c r="B10">
        <v>4</v>
      </c>
      <c r="C10" s="1">
        <f>C9*10^(1/_stepsDecade)</f>
        <v>40.190182904153289</v>
      </c>
      <c r="D10" t="str">
        <f t="shared" si="0"/>
        <v>,{"requestFreq": 40.1901829041533}</v>
      </c>
    </row>
    <row r="11" spans="2:4">
      <c r="B11">
        <v>5</v>
      </c>
      <c r="C11" s="1">
        <f>C10*10^(1/_stepsDecade)</f>
        <v>50.596442562694079</v>
      </c>
      <c r="D11" t="str">
        <f t="shared" si="0"/>
        <v>,{"requestFreq": 50.5964425626941}</v>
      </c>
    </row>
    <row r="12" spans="2:4">
      <c r="B12">
        <v>6</v>
      </c>
      <c r="C12" s="1">
        <f>C11*10^(1/_stepsDecade)</f>
        <v>63.697147288559577</v>
      </c>
      <c r="D12" t="str">
        <f t="shared" si="0"/>
        <v>,{"requestFreq": 63.6971472885596}</v>
      </c>
    </row>
    <row r="13" spans="2:4">
      <c r="B13">
        <v>7</v>
      </c>
      <c r="C13" s="1">
        <f>C12*10^(1/_stepsDecade)</f>
        <v>80.189957380363595</v>
      </c>
      <c r="D13" t="str">
        <f t="shared" si="0"/>
        <v>,{"requestFreq": 80.1899573803636}</v>
      </c>
    </row>
    <row r="14" spans="2:4">
      <c r="B14">
        <v>8</v>
      </c>
      <c r="C14" s="1">
        <f>C13*10^(1/_stepsDecade)</f>
        <v>100.95317511683096</v>
      </c>
      <c r="D14" t="str">
        <f t="shared" si="0"/>
        <v>,{"requestFreq": 100.953175116831}</v>
      </c>
    </row>
    <row r="15" spans="2:4">
      <c r="B15">
        <v>9</v>
      </c>
      <c r="C15" s="1">
        <f>C14*10^(1/_stepsDecade)</f>
        <v>127.0925175558851</v>
      </c>
      <c r="D15" t="str">
        <f t="shared" si="0"/>
        <v>,{"requestFreq": 127.092517555885}</v>
      </c>
    </row>
    <row r="16" spans="2:4">
      <c r="B16">
        <v>10</v>
      </c>
      <c r="C16" s="1">
        <f>C15*10^(1/_stepsDecade)</f>
        <v>160.00000000000009</v>
      </c>
      <c r="D16" t="str">
        <f t="shared" si="0"/>
        <v>,{"requestFreq": 160}</v>
      </c>
    </row>
    <row r="17" spans="2:4">
      <c r="B17">
        <v>11</v>
      </c>
      <c r="C17" s="1">
        <f>C16*10^(1/_stepsDecade)</f>
        <v>201.42806588706688</v>
      </c>
      <c r="D17" t="str">
        <f t="shared" si="0"/>
        <v>,{"requestFreq": 201.428065887067}</v>
      </c>
    </row>
    <row r="18" spans="2:4">
      <c r="B18">
        <v>12</v>
      </c>
      <c r="C18" s="1">
        <f>C17*10^(1/_stepsDecade)</f>
        <v>253.58291079377832</v>
      </c>
      <c r="D18" t="str">
        <f t="shared" si="0"/>
        <v>,{"requestFreq": 253.582910793778}</v>
      </c>
    </row>
    <row r="19" spans="2:4">
      <c r="B19">
        <v>13</v>
      </c>
      <c r="C19" s="1">
        <f>C18*10^(1/_stepsDecade)</f>
        <v>319.24197039502099</v>
      </c>
      <c r="D19" t="str">
        <f t="shared" si="0"/>
        <v>,{"requestFreq": 319.241970395021}</v>
      </c>
    </row>
    <row r="20" spans="2:4">
      <c r="B20">
        <v>14</v>
      </c>
      <c r="C20" s="1">
        <f>C19*10^(1/_stepsDecade)</f>
        <v>401.90182904153318</v>
      </c>
      <c r="D20" t="str">
        <f t="shared" si="0"/>
        <v>,{"requestFreq": 401.901829041533}</v>
      </c>
    </row>
    <row r="21" spans="2:4">
      <c r="B21">
        <v>15</v>
      </c>
      <c r="C21" s="1">
        <f>C20*10^(1/_stepsDecade)</f>
        <v>505.96442562694119</v>
      </c>
      <c r="D21" t="str">
        <f t="shared" si="0"/>
        <v>,{"requestFreq": 505.964425626941}</v>
      </c>
    </row>
    <row r="22" spans="2:4">
      <c r="B22">
        <v>16</v>
      </c>
      <c r="C22" s="1">
        <f>C21*10^(1/_stepsDecade)</f>
        <v>636.97147288559631</v>
      </c>
      <c r="D22" t="str">
        <f t="shared" si="0"/>
        <v>,{"requestFreq": 636.971472885596}</v>
      </c>
    </row>
    <row r="23" spans="2:4">
      <c r="B23">
        <v>17</v>
      </c>
      <c r="C23" s="1">
        <f>C22*10^(1/_stepsDecade)</f>
        <v>801.8995738036366</v>
      </c>
      <c r="D23" t="str">
        <f t="shared" si="0"/>
        <v>,{"requestFreq": 801.899573803637}</v>
      </c>
    </row>
    <row r="24" spans="2:4">
      <c r="B24">
        <v>18</v>
      </c>
      <c r="C24" s="1">
        <f>C23*10^(1/_stepsDecade)</f>
        <v>1009.5317511683104</v>
      </c>
      <c r="D24" t="str">
        <f t="shared" si="0"/>
        <v>,{"requestFreq": 1009.53175116831}</v>
      </c>
    </row>
    <row r="25" spans="2:4">
      <c r="B25">
        <v>19</v>
      </c>
      <c r="C25" s="1">
        <f>C24*10^(1/_stepsDecade)</f>
        <v>1270.9251755588521</v>
      </c>
      <c r="D25" t="str">
        <f t="shared" si="0"/>
        <v>,{"requestFreq": 1270.92517555885}</v>
      </c>
    </row>
    <row r="26" spans="2:4">
      <c r="B26">
        <v>20</v>
      </c>
      <c r="C26" s="1">
        <f>C25*10^(1/_stepsDecade)</f>
        <v>1600.0000000000023</v>
      </c>
      <c r="D26" t="str">
        <f t="shared" si="0"/>
        <v>,{"requestFreq": 1600}</v>
      </c>
    </row>
    <row r="27" spans="2:4">
      <c r="B27">
        <v>21</v>
      </c>
      <c r="C27" s="1">
        <f>C26*10^(1/_stepsDecade)</f>
        <v>2014.2806588706705</v>
      </c>
      <c r="D27" t="str">
        <f t="shared" si="0"/>
        <v>,{"requestFreq": 2014.28065887067}</v>
      </c>
    </row>
    <row r="28" spans="2:4">
      <c r="B28">
        <v>22</v>
      </c>
      <c r="C28" s="1">
        <f>C27*10^(1/_stepsDecade)</f>
        <v>2535.8291079377855</v>
      </c>
      <c r="D28" t="str">
        <f t="shared" si="0"/>
        <v>,{"requestFreq": 2535.82910793779}</v>
      </c>
    </row>
    <row r="29" spans="2:4">
      <c r="B29">
        <v>23</v>
      </c>
      <c r="C29" s="1">
        <f>C28*10^(1/_stepsDecade)</f>
        <v>3192.4197039502124</v>
      </c>
      <c r="D29" t="str">
        <f t="shared" si="0"/>
        <v>,{"requestFreq": 3192.41970395021}</v>
      </c>
    </row>
    <row r="30" spans="2:4">
      <c r="B30">
        <v>24</v>
      </c>
      <c r="C30" s="1">
        <f>C29*10^(1/_stepsDecade)</f>
        <v>4019.0182904153348</v>
      </c>
      <c r="D30" t="str">
        <f t="shared" si="0"/>
        <v>,{"requestFreq": 4019.01829041533}</v>
      </c>
    </row>
    <row r="31" spans="2:4">
      <c r="B31">
        <v>25</v>
      </c>
      <c r="C31" s="1">
        <f>C30*10^(1/_stepsDecade)</f>
        <v>5059.6442562694156</v>
      </c>
      <c r="D31" t="str">
        <f t="shared" si="0"/>
        <v>,{"requestFreq": 5059.64425626942}</v>
      </c>
    </row>
    <row r="32" spans="2:4">
      <c r="B32">
        <v>26</v>
      </c>
      <c r="C32" s="1">
        <f>C31*10^(1/_stepsDecade)</f>
        <v>6369.7147288559672</v>
      </c>
      <c r="D32" t="str">
        <f t="shared" si="0"/>
        <v>,{"requestFreq": 6369.71472885597}</v>
      </c>
    </row>
    <row r="33" spans="2:4">
      <c r="B33">
        <v>27</v>
      </c>
      <c r="C33" s="1">
        <f>C32*10^(1/_stepsDecade)</f>
        <v>8018.9957380363712</v>
      </c>
      <c r="D33" t="str">
        <f t="shared" si="0"/>
        <v>,{"requestFreq": 8018.99573803637}</v>
      </c>
    </row>
    <row r="34" spans="2:4">
      <c r="B34">
        <v>28</v>
      </c>
      <c r="C34" s="1">
        <f>C33*10^(1/_stepsDecade)</f>
        <v>10095.317511683112</v>
      </c>
      <c r="D34" t="str">
        <f t="shared" si="0"/>
        <v>,{"requestFreq": 10095.3175116831}</v>
      </c>
    </row>
    <row r="35" spans="2:4">
      <c r="B35">
        <v>29</v>
      </c>
      <c r="C35" s="1">
        <f>C34*10^(1/_stepsDecade)</f>
        <v>12709.25175558853</v>
      </c>
      <c r="D35" t="str">
        <f t="shared" si="0"/>
        <v>,{"requestFreq": 12709.2517555885}</v>
      </c>
    </row>
    <row r="36" spans="2:4">
      <c r="B36">
        <v>30</v>
      </c>
      <c r="C36" s="1">
        <f>C35*10^(1/_stepsDecade)</f>
        <v>16000.000000000033</v>
      </c>
      <c r="D36" t="str">
        <f t="shared" si="0"/>
        <v>,{"requestFreq": 16000}</v>
      </c>
    </row>
    <row r="37" spans="2:4">
      <c r="D37" s="2" t="s">
        <v>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"/>
  <sheetViews>
    <sheetView topLeftCell="A13" workbookViewId="0">
      <selection activeCell="N80" activeCellId="1" sqref="I80:I110 N80:U110"/>
    </sheetView>
  </sheetViews>
  <sheetFormatPr baseColWidth="10" defaultRowHeight="15" x14ac:dyDescent="0"/>
  <cols>
    <col min="1" max="16384" width="10.83203125" style="4"/>
  </cols>
  <sheetData>
    <row r="1" spans="1:21">
      <c r="A1" s="4" t="s">
        <v>9</v>
      </c>
      <c r="B1" s="4" t="s">
        <v>10</v>
      </c>
      <c r="C1" s="4" t="s">
        <v>11</v>
      </c>
      <c r="D1" s="4" t="s">
        <v>12</v>
      </c>
    </row>
    <row r="2" spans="1:21">
      <c r="A2" s="4" t="s">
        <v>13</v>
      </c>
      <c r="B2" s="4" t="s">
        <v>14</v>
      </c>
      <c r="C2" s="4" t="s">
        <v>11</v>
      </c>
      <c r="D2" s="4" t="s">
        <v>15</v>
      </c>
    </row>
    <row r="3" spans="1:21">
      <c r="A3" s="4" t="s">
        <v>16</v>
      </c>
      <c r="B3" s="4" t="s">
        <v>11</v>
      </c>
      <c r="C3" s="4" t="s">
        <v>17</v>
      </c>
    </row>
    <row r="4" spans="1:21">
      <c r="A4" s="4" t="s">
        <v>7</v>
      </c>
    </row>
    <row r="5" spans="1:21">
      <c r="B5" s="4" t="s">
        <v>18</v>
      </c>
      <c r="C5" s="4" t="s">
        <v>19</v>
      </c>
    </row>
    <row r="6" spans="1:21">
      <c r="B6" s="4" t="s">
        <v>20</v>
      </c>
      <c r="C6" s="4" t="s">
        <v>21</v>
      </c>
    </row>
    <row r="7" spans="1:21">
      <c r="B7" s="4" t="s">
        <v>22</v>
      </c>
      <c r="C7" s="4" t="s">
        <v>23</v>
      </c>
    </row>
    <row r="8" spans="1:21">
      <c r="B8" s="4" t="s">
        <v>24</v>
      </c>
      <c r="C8" s="4" t="s">
        <v>34</v>
      </c>
    </row>
    <row r="9" spans="1:21">
      <c r="B9" s="4" t="s">
        <v>25</v>
      </c>
      <c r="C9" s="4" t="s">
        <v>26</v>
      </c>
    </row>
    <row r="10" spans="1:21">
      <c r="B10" s="4" t="s">
        <v>27</v>
      </c>
      <c r="C10" s="4" t="s">
        <v>28</v>
      </c>
    </row>
    <row r="11" spans="1:21">
      <c r="A11" s="4" t="s">
        <v>8</v>
      </c>
      <c r="J11" s="3" t="s">
        <v>41</v>
      </c>
      <c r="K11" s="3"/>
      <c r="L11" s="3"/>
      <c r="M11" s="3"/>
      <c r="N11" s="3" t="s">
        <v>39</v>
      </c>
      <c r="O11" s="3"/>
      <c r="P11" s="3"/>
      <c r="Q11" s="3"/>
      <c r="R11" s="3" t="s">
        <v>40</v>
      </c>
      <c r="S11" s="3"/>
      <c r="T11" s="3"/>
      <c r="U11" s="3"/>
    </row>
    <row r="12" spans="1:21">
      <c r="A12" s="4" t="s">
        <v>29</v>
      </c>
      <c r="B12" s="4">
        <v>12166232</v>
      </c>
      <c r="C12" s="4" t="s">
        <v>30</v>
      </c>
      <c r="D12" s="4" t="s">
        <v>31</v>
      </c>
      <c r="E12" s="4">
        <v>12547203</v>
      </c>
      <c r="J12" s="3" t="s">
        <v>35</v>
      </c>
      <c r="K12" s="3" t="s">
        <v>36</v>
      </c>
      <c r="L12" s="3" t="s">
        <v>37</v>
      </c>
      <c r="M12" s="3" t="s">
        <v>38</v>
      </c>
      <c r="N12" s="3" t="s">
        <v>35</v>
      </c>
      <c r="O12" s="3" t="s">
        <v>36</v>
      </c>
      <c r="P12" s="3" t="s">
        <v>37</v>
      </c>
      <c r="Q12" s="3" t="s">
        <v>38</v>
      </c>
      <c r="R12" s="3" t="s">
        <v>35</v>
      </c>
      <c r="S12" s="3" t="s">
        <v>36</v>
      </c>
      <c r="T12" s="3" t="s">
        <v>37</v>
      </c>
      <c r="U12" s="3" t="s">
        <v>38</v>
      </c>
    </row>
    <row r="13" spans="1:21">
      <c r="A13" s="4">
        <v>16.001450999999999</v>
      </c>
      <c r="B13" s="4">
        <v>-4009617.4454356502</v>
      </c>
      <c r="C13" s="5">
        <v>0.30992221404195802</v>
      </c>
      <c r="D13" s="4">
        <v>-4046250.7945906501</v>
      </c>
      <c r="E13" s="4">
        <v>0.123053840478884</v>
      </c>
      <c r="F13" s="4">
        <v>-116897.51208770199</v>
      </c>
      <c r="G13" s="5">
        <v>-0.40065594682441702</v>
      </c>
      <c r="H13" s="4">
        <v>-118783.804003546</v>
      </c>
      <c r="I13" s="4">
        <v>0.187731124762122</v>
      </c>
      <c r="J13" s="4" t="str">
        <f>COMPLEX(B13,F13)</f>
        <v>-4009617.44543565-116897.512087702i</v>
      </c>
      <c r="K13" s="4" t="str">
        <f t="shared" ref="K13:M13" si="0">COMPLEX(C13,G13)</f>
        <v>0.309922214041958-0.400655946824417i</v>
      </c>
      <c r="L13" s="4" t="str">
        <f t="shared" si="0"/>
        <v>-4046250.79459065-118783.804003546i</v>
      </c>
      <c r="M13" s="4" t="str">
        <f t="shared" si="0"/>
        <v>0.123053840478884+0.187731124762122i</v>
      </c>
      <c r="N13" s="4">
        <f>20*LOG(IMABS(J13))</f>
        <v>132.06574859171243</v>
      </c>
      <c r="O13" s="4">
        <f t="shared" ref="O13:Q13" si="1">20*LOG(IMABS(K13))</f>
        <v>-5.9078233384796954</v>
      </c>
      <c r="P13" s="4">
        <f t="shared" si="1"/>
        <v>132.14479711237831</v>
      </c>
      <c r="Q13" s="4">
        <f t="shared" si="1"/>
        <v>-12.976968161517375</v>
      </c>
      <c r="R13" s="4">
        <f>DEGREES(IMARGUMENT(J13))</f>
        <v>-178.33005579521887</v>
      </c>
      <c r="S13" s="4">
        <f t="shared" ref="S13:U28" si="2">DEGREES(IMARGUMENT(K13))</f>
        <v>-52.276720840516937</v>
      </c>
      <c r="T13" s="4">
        <f t="shared" si="2"/>
        <v>-178.31847878285018</v>
      </c>
      <c r="U13" s="4">
        <f t="shared" si="2"/>
        <v>56.75599371589373</v>
      </c>
    </row>
    <row r="14" spans="1:21">
      <c r="A14" s="4">
        <v>20.143118000000001</v>
      </c>
      <c r="B14" s="4">
        <v>3116584.4538914999</v>
      </c>
      <c r="C14" s="5">
        <v>-0.119206018286637</v>
      </c>
      <c r="D14" s="4">
        <v>3144629.06719172</v>
      </c>
      <c r="E14" s="4">
        <v>-0.72504736961301397</v>
      </c>
      <c r="F14" s="4">
        <v>2539413.7414820502</v>
      </c>
      <c r="G14" s="5">
        <v>0.811899285023576</v>
      </c>
      <c r="H14" s="4">
        <v>2563160.5555700799</v>
      </c>
      <c r="I14" s="4">
        <v>-0.54269486727896898</v>
      </c>
      <c r="J14" s="4" t="str">
        <f t="shared" ref="J14:J74" si="3">COMPLEX(B14,F14)</f>
        <v>3116584.4538915+2539413.74148205i</v>
      </c>
      <c r="K14" s="4" t="str">
        <f t="shared" ref="K14:K74" si="4">COMPLEX(C14,G14)</f>
        <v>-0.119206018286637+0.811899285023576i</v>
      </c>
      <c r="L14" s="4" t="str">
        <f t="shared" ref="L14:L74" si="5">COMPLEX(D14,H14)</f>
        <v>3144629.06719172+2563160.55557008i</v>
      </c>
      <c r="M14" s="4" t="str">
        <f t="shared" ref="M14:M74" si="6">COMPLEX(E14,I14)</f>
        <v>-0.725047369613014-0.542694867278969i</v>
      </c>
      <c r="N14" s="4">
        <f t="shared" ref="N14:N74" si="7">20*LOG(IMABS(J14))</f>
        <v>132.08487600121768</v>
      </c>
      <c r="O14" s="4">
        <f t="shared" ref="O14:O74" si="8">20*LOG(IMABS(K14))</f>
        <v>-1.7173299944585909</v>
      </c>
      <c r="P14" s="4">
        <f t="shared" ref="P14:P74" si="9">20*LOG(IMABS(L14))</f>
        <v>132.16389829717042</v>
      </c>
      <c r="Q14" s="4">
        <f t="shared" ref="Q14:Q74" si="10">20*LOG(IMABS(M14))</f>
        <v>-0.86074195022380295</v>
      </c>
      <c r="R14" s="4">
        <f t="shared" ref="R14:R74" si="11">DEGREES(IMARGUMENT(J14))</f>
        <v>39.173376855832025</v>
      </c>
      <c r="S14" s="4">
        <f t="shared" si="2"/>
        <v>98.352696587220535</v>
      </c>
      <c r="T14" s="4">
        <f t="shared" si="2"/>
        <v>39.183185546417228</v>
      </c>
      <c r="U14" s="4">
        <f t="shared" si="2"/>
        <v>-143.18530236235011</v>
      </c>
    </row>
    <row r="15" spans="1:21">
      <c r="A15" s="4">
        <v>25.362767999999999</v>
      </c>
      <c r="B15" s="4">
        <v>-3073225.46457612</v>
      </c>
      <c r="C15" s="5">
        <v>1.08601200289526</v>
      </c>
      <c r="D15" s="4">
        <v>-3100926.9266372402</v>
      </c>
      <c r="E15" s="4">
        <v>-0.20499158119785699</v>
      </c>
      <c r="F15" s="4">
        <v>-2600339.5558066</v>
      </c>
      <c r="G15" s="5">
        <v>-0.54095905750913598</v>
      </c>
      <c r="H15" s="4">
        <v>-2624572.7932591201</v>
      </c>
      <c r="I15" s="4">
        <v>0.13756016334535001</v>
      </c>
      <c r="J15" s="4" t="str">
        <f t="shared" si="3"/>
        <v>-3073225.46457612-2600339.5558066i</v>
      </c>
      <c r="K15" s="4" t="str">
        <f t="shared" si="4"/>
        <v>1.08601200289526-0.540959057509136i</v>
      </c>
      <c r="L15" s="4" t="str">
        <f t="shared" si="5"/>
        <v>-3100926.92663724-2624572.79325912i</v>
      </c>
      <c r="M15" s="4" t="str">
        <f t="shared" si="6"/>
        <v>-0.204991581197857+0.13756016334535i</v>
      </c>
      <c r="N15" s="4">
        <f t="shared" si="7"/>
        <v>132.09688712650927</v>
      </c>
      <c r="O15" s="4">
        <f t="shared" si="8"/>
        <v>1.6792514966906968</v>
      </c>
      <c r="P15" s="4">
        <f t="shared" si="9"/>
        <v>132.17592639821976</v>
      </c>
      <c r="Q15" s="4">
        <f t="shared" si="10"/>
        <v>-12.150665726264778</v>
      </c>
      <c r="R15" s="4">
        <f t="shared" si="11"/>
        <v>-139.76453250992262</v>
      </c>
      <c r="S15" s="4">
        <f t="shared" si="2"/>
        <v>-26.478591986718289</v>
      </c>
      <c r="T15" s="4">
        <f t="shared" si="2"/>
        <v>-139.75598088142749</v>
      </c>
      <c r="U15" s="4">
        <f t="shared" si="2"/>
        <v>146.13630493484754</v>
      </c>
    </row>
    <row r="16" spans="1:21">
      <c r="A16" s="4">
        <v>31.929302</v>
      </c>
      <c r="B16" s="4">
        <v>4017624.0837483802</v>
      </c>
      <c r="C16" s="5">
        <v>0.23164003875439701</v>
      </c>
      <c r="D16" s="4">
        <v>4054400.0564482599</v>
      </c>
      <c r="E16" s="4">
        <v>0.48026663312339801</v>
      </c>
      <c r="F16" s="4">
        <v>-306538.23250145902</v>
      </c>
      <c r="G16" s="5">
        <v>-5.9926367203398001E-2</v>
      </c>
      <c r="H16" s="4">
        <v>-308791.01878161402</v>
      </c>
      <c r="I16" s="4">
        <v>-0.36901244371376102</v>
      </c>
      <c r="J16" s="4" t="str">
        <f t="shared" si="3"/>
        <v>4017624.08374838-306538.232501459i</v>
      </c>
      <c r="K16" s="4" t="str">
        <f t="shared" si="4"/>
        <v>0.231640038754397-0.059926367203398i</v>
      </c>
      <c r="L16" s="4" t="str">
        <f t="shared" si="5"/>
        <v>4054400.05644826-308791.018781614i</v>
      </c>
      <c r="M16" s="4" t="str">
        <f t="shared" si="6"/>
        <v>0.480266633123398-0.369012443713761i</v>
      </c>
      <c r="N16" s="4">
        <f t="shared" si="7"/>
        <v>132.10459487887329</v>
      </c>
      <c r="O16" s="4">
        <f t="shared" si="8"/>
        <v>-12.422375794358476</v>
      </c>
      <c r="P16" s="4">
        <f t="shared" si="9"/>
        <v>132.18365107336371</v>
      </c>
      <c r="Q16" s="4">
        <f t="shared" si="10"/>
        <v>-4.3553962642851207</v>
      </c>
      <c r="R16" s="4">
        <f t="shared" si="11"/>
        <v>-4.3631220393040726</v>
      </c>
      <c r="S16" s="4">
        <f t="shared" si="2"/>
        <v>-14.504678459757054</v>
      </c>
      <c r="T16" s="4">
        <f t="shared" si="2"/>
        <v>-4.3553500669608152</v>
      </c>
      <c r="U16" s="4">
        <f t="shared" si="2"/>
        <v>-37.536842362099939</v>
      </c>
    </row>
    <row r="17" spans="1:21">
      <c r="A17" s="4">
        <v>40.195312000000001</v>
      </c>
      <c r="B17" s="4">
        <v>1157157.1398307199</v>
      </c>
      <c r="C17" s="5">
        <v>-0.136669545963683</v>
      </c>
      <c r="D17" s="4">
        <v>1167231.2890310199</v>
      </c>
      <c r="E17" s="4">
        <v>0.62334055189138904</v>
      </c>
      <c r="F17" s="4">
        <v>3861958.3247236498</v>
      </c>
      <c r="G17" s="5">
        <v>0.441981291543456</v>
      </c>
      <c r="H17" s="4">
        <v>3897407.3904748601</v>
      </c>
      <c r="I17" s="4">
        <v>-0.51783759817228003</v>
      </c>
      <c r="J17" s="4" t="str">
        <f t="shared" si="3"/>
        <v>1157157.13983072+3861958.32472365i</v>
      </c>
      <c r="K17" s="4" t="str">
        <f t="shared" si="4"/>
        <v>-0.136669545963683+0.441981291543456i</v>
      </c>
      <c r="L17" s="4" t="str">
        <f t="shared" si="5"/>
        <v>1167231.28903102+3897407.39047486i</v>
      </c>
      <c r="M17" s="4" t="str">
        <f t="shared" si="6"/>
        <v>0.623340551891389-0.51783759817228i</v>
      </c>
      <c r="N17" s="4">
        <f t="shared" si="7"/>
        <v>132.10953168032236</v>
      </c>
      <c r="O17" s="4">
        <f t="shared" si="8"/>
        <v>-6.6953341058540206</v>
      </c>
      <c r="P17" s="4">
        <f t="shared" si="9"/>
        <v>132.18856072899962</v>
      </c>
      <c r="Q17" s="4">
        <f t="shared" si="10"/>
        <v>-1.8262688517274936</v>
      </c>
      <c r="R17" s="4">
        <f t="shared" si="11"/>
        <v>73.320226280677034</v>
      </c>
      <c r="S17" s="4">
        <f t="shared" si="2"/>
        <v>107.18266549457128</v>
      </c>
      <c r="T17" s="4">
        <f t="shared" si="2"/>
        <v>73.327611494749945</v>
      </c>
      <c r="U17" s="4">
        <f t="shared" si="2"/>
        <v>-39.717967943581343</v>
      </c>
    </row>
    <row r="18" spans="1:21">
      <c r="A18" s="4">
        <v>50.597405000000002</v>
      </c>
      <c r="B18" s="4">
        <v>812763.27790081897</v>
      </c>
      <c r="C18" s="5">
        <v>-9.1763084016145005</v>
      </c>
      <c r="D18" s="4">
        <v>819675.73182596697</v>
      </c>
      <c r="E18" s="4">
        <v>-8.8857558349173296</v>
      </c>
      <c r="F18" s="4">
        <v>3950330.4784790901</v>
      </c>
      <c r="G18" s="5">
        <v>3.7371750379802702</v>
      </c>
      <c r="H18" s="4">
        <v>3986540.5130606098</v>
      </c>
      <c r="I18" s="4">
        <v>3.4271547931500099</v>
      </c>
      <c r="J18" s="4" t="str">
        <f t="shared" si="3"/>
        <v>812763.277900819+3950330.47847909i</v>
      </c>
      <c r="K18" s="4" t="str">
        <f t="shared" si="4"/>
        <v>-9.1763084016145+3.73717503798027i</v>
      </c>
      <c r="L18" s="4" t="str">
        <f t="shared" si="5"/>
        <v>819675.731825967+3986540.51306061i</v>
      </c>
      <c r="M18" s="4" t="str">
        <f t="shared" si="6"/>
        <v>-8.88575583491733+3.42715479315001i</v>
      </c>
      <c r="N18" s="4">
        <f t="shared" si="7"/>
        <v>132.11272625469803</v>
      </c>
      <c r="O18" s="4">
        <f t="shared" si="8"/>
        <v>19.919837154159296</v>
      </c>
      <c r="P18" s="4">
        <f t="shared" si="9"/>
        <v>132.19175016356158</v>
      </c>
      <c r="Q18" s="4">
        <f t="shared" si="10"/>
        <v>19.576170872281619</v>
      </c>
      <c r="R18" s="4">
        <f t="shared" si="11"/>
        <v>78.373880680036635</v>
      </c>
      <c r="S18" s="4">
        <f t="shared" si="2"/>
        <v>157.84072842940819</v>
      </c>
      <c r="T18" s="4">
        <f t="shared" si="2"/>
        <v>78.381293676888717</v>
      </c>
      <c r="U18" s="4">
        <f t="shared" si="2"/>
        <v>158.90882896612086</v>
      </c>
    </row>
    <row r="19" spans="1:21">
      <c r="A19" s="4">
        <v>63.69847</v>
      </c>
      <c r="B19" s="4">
        <v>3990688.5588604901</v>
      </c>
      <c r="C19" s="5">
        <v>0.41819584732202197</v>
      </c>
      <c r="D19" s="4">
        <v>4027256.0450358898</v>
      </c>
      <c r="E19" s="4">
        <v>0.17171244367524399</v>
      </c>
      <c r="F19" s="4">
        <v>-589866.57195363997</v>
      </c>
      <c r="G19" s="5">
        <v>0.386783792952273</v>
      </c>
      <c r="H19" s="4">
        <v>-594708.433586834</v>
      </c>
      <c r="I19" s="4">
        <v>5.7667714570317899E-2</v>
      </c>
      <c r="J19" s="4" t="str">
        <f t="shared" si="3"/>
        <v>3990688.55886049-589866.57195364i</v>
      </c>
      <c r="K19" s="4" t="str">
        <f t="shared" si="4"/>
        <v>0.418195847322022+0.386783792952273i</v>
      </c>
      <c r="L19" s="4" t="str">
        <f t="shared" si="5"/>
        <v>4027256.04503589-594708.433586834i</v>
      </c>
      <c r="M19" s="4" t="str">
        <f t="shared" si="6"/>
        <v>0.171712443675244+0.0576677145703179i</v>
      </c>
      <c r="N19" s="4">
        <f t="shared" si="7"/>
        <v>132.11481975603112</v>
      </c>
      <c r="O19" s="4">
        <f t="shared" si="8"/>
        <v>-4.8879939297485153</v>
      </c>
      <c r="P19" s="4">
        <f t="shared" si="9"/>
        <v>132.1938722509264</v>
      </c>
      <c r="Q19" s="4">
        <f t="shared" si="10"/>
        <v>-14.83984125277064</v>
      </c>
      <c r="R19" s="4">
        <f t="shared" si="11"/>
        <v>-8.4080504177753816</v>
      </c>
      <c r="S19" s="4">
        <f t="shared" si="2"/>
        <v>42.765328016275141</v>
      </c>
      <c r="T19" s="4">
        <f t="shared" si="2"/>
        <v>-8.4002088590625359</v>
      </c>
      <c r="U19" s="4">
        <f t="shared" si="2"/>
        <v>18.564053027001641</v>
      </c>
    </row>
    <row r="20" spans="1:21">
      <c r="A20" s="4">
        <v>80.201261000000002</v>
      </c>
      <c r="B20" s="4">
        <v>-3458655.0492747398</v>
      </c>
      <c r="C20" s="5">
        <v>-0.19267736016484999</v>
      </c>
      <c r="D20" s="4">
        <v>-3490591.0230587502</v>
      </c>
      <c r="E20" s="4">
        <v>-0.71359430318556605</v>
      </c>
      <c r="F20" s="4">
        <v>2077497.63458967</v>
      </c>
      <c r="G20" s="5">
        <v>0.15339515951893801</v>
      </c>
      <c r="H20" s="4">
        <v>2095963.09346765</v>
      </c>
      <c r="I20" s="4">
        <v>0.13989469605096799</v>
      </c>
      <c r="J20" s="4" t="str">
        <f t="shared" si="3"/>
        <v>-3458655.04927474+2077497.63458967i</v>
      </c>
      <c r="K20" s="4" t="str">
        <f t="shared" si="4"/>
        <v>-0.19267736016485+0.153395159518938i</v>
      </c>
      <c r="L20" s="4" t="str">
        <f t="shared" si="5"/>
        <v>-3490591.02305875+2095963.09346765i</v>
      </c>
      <c r="M20" s="4" t="str">
        <f t="shared" si="6"/>
        <v>-0.713594303185566+0.139894696050968i</v>
      </c>
      <c r="N20" s="4">
        <f t="shared" si="7"/>
        <v>132.11608812488274</v>
      </c>
      <c r="O20" s="4">
        <f t="shared" si="8"/>
        <v>-12.171359699702549</v>
      </c>
      <c r="P20" s="4">
        <f t="shared" si="9"/>
        <v>132.19513455872266</v>
      </c>
      <c r="Q20" s="4">
        <f t="shared" si="10"/>
        <v>-2.7671893834208339</v>
      </c>
      <c r="R20" s="4">
        <f t="shared" si="11"/>
        <v>149.00817974436069</v>
      </c>
      <c r="S20" s="4">
        <f t="shared" si="2"/>
        <v>141.47584552342113</v>
      </c>
      <c r="T20" s="4">
        <f t="shared" si="2"/>
        <v>149.01683407175929</v>
      </c>
      <c r="U20" s="4">
        <f t="shared" si="2"/>
        <v>168.90826839935349</v>
      </c>
    </row>
    <row r="21" spans="1:21">
      <c r="A21" s="4">
        <v>100.96802700000001</v>
      </c>
      <c r="B21" s="4">
        <v>-3820404.1638264698</v>
      </c>
      <c r="C21" s="5">
        <v>-0.53836441171376004</v>
      </c>
      <c r="D21" s="4">
        <v>-3855555.1577005899</v>
      </c>
      <c r="E21" s="4">
        <v>4.0415969718514001E-2</v>
      </c>
      <c r="F21" s="4">
        <v>1298426.87543497</v>
      </c>
      <c r="G21" s="5">
        <v>-7.1802461035108206E-2</v>
      </c>
      <c r="H21" s="4">
        <v>1309626.89900774</v>
      </c>
      <c r="I21" s="4">
        <v>9.2701352486868102E-2</v>
      </c>
      <c r="J21" s="4" t="str">
        <f t="shared" si="3"/>
        <v>-3820404.16382647+1298426.87543497i</v>
      </c>
      <c r="K21" s="4" t="str">
        <f t="shared" si="4"/>
        <v>-0.53836441171376-0.0718024610351082i</v>
      </c>
      <c r="L21" s="4" t="str">
        <f t="shared" si="5"/>
        <v>-3855555.15770059+1309626.89900774i</v>
      </c>
      <c r="M21" s="4" t="str">
        <f t="shared" si="6"/>
        <v>0.040415969718514+0.0927013524868681i</v>
      </c>
      <c r="N21" s="4">
        <f t="shared" si="7"/>
        <v>132.11691754830153</v>
      </c>
      <c r="O21" s="4">
        <f t="shared" si="8"/>
        <v>-5.3019000721053686</v>
      </c>
      <c r="P21" s="4">
        <f t="shared" si="9"/>
        <v>132.1959574199098</v>
      </c>
      <c r="Q21" s="4">
        <f t="shared" si="10"/>
        <v>-19.902521109031522</v>
      </c>
      <c r="R21" s="4">
        <f t="shared" si="11"/>
        <v>161.22883038605718</v>
      </c>
      <c r="S21" s="4">
        <f t="shared" si="2"/>
        <v>-172.40320889758783</v>
      </c>
      <c r="T21" s="4">
        <f t="shared" si="2"/>
        <v>161.23877724669302</v>
      </c>
      <c r="U21" s="4">
        <f t="shared" si="2"/>
        <v>66.443743506747523</v>
      </c>
    </row>
    <row r="22" spans="1:21">
      <c r="A22" s="4">
        <v>127.10439</v>
      </c>
      <c r="B22" s="4">
        <v>3980729.4599190699</v>
      </c>
      <c r="C22" s="5">
        <v>6.6260914771030993E-2</v>
      </c>
      <c r="D22" s="4">
        <v>4017248.3959950302</v>
      </c>
      <c r="E22" s="4">
        <v>0.711412705776169</v>
      </c>
      <c r="F22" s="4">
        <v>-661006.608240047</v>
      </c>
      <c r="G22" s="5">
        <v>0.48446763362602202</v>
      </c>
      <c r="H22" s="4">
        <v>-666220.60913732694</v>
      </c>
      <c r="I22" s="4">
        <v>-0.32091081928801701</v>
      </c>
      <c r="J22" s="4" t="str">
        <f t="shared" si="3"/>
        <v>3980729.45991907-661006.608240047i</v>
      </c>
      <c r="K22" s="4" t="str">
        <f t="shared" si="4"/>
        <v>0.066260914771031+0.484467633626022i</v>
      </c>
      <c r="L22" s="4" t="str">
        <f t="shared" si="5"/>
        <v>4017248.39599503-666220.609137327i</v>
      </c>
      <c r="M22" s="4" t="str">
        <f t="shared" si="6"/>
        <v>0.711412705776169-0.320910819288017i</v>
      </c>
      <c r="N22" s="4">
        <f t="shared" si="7"/>
        <v>132.11738070721105</v>
      </c>
      <c r="O22" s="4">
        <f t="shared" si="8"/>
        <v>-6.2142151941661208</v>
      </c>
      <c r="P22" s="4">
        <f t="shared" si="9"/>
        <v>132.19640435414797</v>
      </c>
      <c r="Q22" s="4">
        <f t="shared" si="10"/>
        <v>-2.1531725301381894</v>
      </c>
      <c r="R22" s="4">
        <f t="shared" si="11"/>
        <v>-9.4280320920724794</v>
      </c>
      <c r="S22" s="4">
        <f t="shared" si="2"/>
        <v>82.211945245850046</v>
      </c>
      <c r="T22" s="4">
        <f t="shared" si="2"/>
        <v>-9.4162335261087726</v>
      </c>
      <c r="U22" s="4">
        <f t="shared" si="2"/>
        <v>-24.279636965406933</v>
      </c>
    </row>
    <row r="23" spans="1:21">
      <c r="A23" s="4">
        <v>160.00702200000001</v>
      </c>
      <c r="B23" s="4">
        <v>2563679.0649869</v>
      </c>
      <c r="C23" s="5">
        <v>0.46353033558569001</v>
      </c>
      <c r="D23" s="4">
        <v>2587904.4717115499</v>
      </c>
      <c r="E23" s="4">
        <v>-5.1117788278132202E-2</v>
      </c>
      <c r="F23" s="4">
        <v>-3116300.5308733401</v>
      </c>
      <c r="G23" s="5">
        <v>-0.22482537815343401</v>
      </c>
      <c r="H23" s="4">
        <v>-3144153.2118193898</v>
      </c>
      <c r="I23" s="4">
        <v>-0.84480967625466896</v>
      </c>
      <c r="J23" s="4" t="str">
        <f t="shared" si="3"/>
        <v>2563679.0649869-3116300.53087334i</v>
      </c>
      <c r="K23" s="4" t="str">
        <f t="shared" si="4"/>
        <v>0.46353033558569-0.224825378153434i</v>
      </c>
      <c r="L23" s="4" t="str">
        <f t="shared" si="5"/>
        <v>2587904.47171155-3144153.21181939i</v>
      </c>
      <c r="M23" s="4" t="str">
        <f t="shared" si="6"/>
        <v>-0.0511177882781322-0.844809676254669i</v>
      </c>
      <c r="N23" s="4">
        <f t="shared" si="7"/>
        <v>132.11755208848541</v>
      </c>
      <c r="O23" s="4">
        <f t="shared" si="8"/>
        <v>-5.7608791715411831</v>
      </c>
      <c r="P23" s="4">
        <f t="shared" si="9"/>
        <v>132.19661764410577</v>
      </c>
      <c r="Q23" s="4">
        <f t="shared" si="10"/>
        <v>-1.4489509506175344</v>
      </c>
      <c r="R23" s="4">
        <f t="shared" si="11"/>
        <v>-50.556980417869475</v>
      </c>
      <c r="S23" s="4">
        <f t="shared" si="2"/>
        <v>-25.874702655918679</v>
      </c>
      <c r="T23" s="4">
        <f t="shared" si="2"/>
        <v>-50.542725711821902</v>
      </c>
      <c r="U23" s="4">
        <f t="shared" si="2"/>
        <v>-93.462634327937707</v>
      </c>
    </row>
    <row r="24" spans="1:21">
      <c r="A24" s="4">
        <v>201.45634899999999</v>
      </c>
      <c r="B24" s="4">
        <v>3719408.7023533802</v>
      </c>
      <c r="C24" s="5">
        <v>-0.51888766391306695</v>
      </c>
      <c r="D24" s="4">
        <v>3753898.48210386</v>
      </c>
      <c r="E24" s="4">
        <v>-0.291992211484701</v>
      </c>
      <c r="F24" s="4">
        <v>-1565313.5902370501</v>
      </c>
      <c r="G24" s="5">
        <v>6.04531303394788E-2</v>
      </c>
      <c r="H24" s="4">
        <v>-1578474.7358319301</v>
      </c>
      <c r="I24" s="4">
        <v>1.13243731408157</v>
      </c>
      <c r="J24" s="4" t="str">
        <f t="shared" si="3"/>
        <v>3719408.70235338-1565313.59023705i</v>
      </c>
      <c r="K24" s="4" t="str">
        <f t="shared" si="4"/>
        <v>-0.518887663913067+0.0604531303394788i</v>
      </c>
      <c r="L24" s="4" t="str">
        <f t="shared" si="5"/>
        <v>3753898.48210386-1578474.73583193i</v>
      </c>
      <c r="M24" s="4" t="str">
        <f t="shared" si="6"/>
        <v>-0.291992211484701+1.13243731408157i</v>
      </c>
      <c r="N24" s="4">
        <f t="shared" si="7"/>
        <v>132.11766633858312</v>
      </c>
      <c r="O24" s="4">
        <f t="shared" si="8"/>
        <v>-5.6399807367502088</v>
      </c>
      <c r="P24" s="4">
        <f t="shared" si="9"/>
        <v>132.1967190820165</v>
      </c>
      <c r="Q24" s="4">
        <f t="shared" si="10"/>
        <v>1.3598250258665858</v>
      </c>
      <c r="R24" s="4">
        <f t="shared" si="11"/>
        <v>-22.823797578559866</v>
      </c>
      <c r="S24" s="4">
        <f t="shared" si="2"/>
        <v>173.35470015157082</v>
      </c>
      <c r="T24" s="4">
        <f t="shared" si="2"/>
        <v>-22.806240260649158</v>
      </c>
      <c r="U24" s="4">
        <f t="shared" si="2"/>
        <v>104.45844983880482</v>
      </c>
    </row>
    <row r="25" spans="1:21">
      <c r="A25" s="4">
        <v>253.58521099999999</v>
      </c>
      <c r="B25" s="4">
        <v>4034613.0103770201</v>
      </c>
      <c r="C25" s="5">
        <v>-0.53763866369449698</v>
      </c>
      <c r="D25" s="4">
        <v>4071497.7455696701</v>
      </c>
      <c r="E25" s="4">
        <v>-0.208013223250538</v>
      </c>
      <c r="F25" s="4">
        <v>77636.242086675004</v>
      </c>
      <c r="G25" s="5">
        <v>-0.13088453133281</v>
      </c>
      <c r="H25" s="4">
        <v>79888.907673231195</v>
      </c>
      <c r="I25" s="4">
        <v>0.153598698328065</v>
      </c>
      <c r="J25" s="4" t="str">
        <f t="shared" si="3"/>
        <v>4034613.01037702+77636.242086675i</v>
      </c>
      <c r="K25" s="4" t="str">
        <f t="shared" si="4"/>
        <v>-0.537638663694497-0.13088453133281i</v>
      </c>
      <c r="L25" s="4" t="str">
        <f t="shared" si="5"/>
        <v>4071497.74556967+79888.9076732312i</v>
      </c>
      <c r="M25" s="4" t="str">
        <f t="shared" si="6"/>
        <v>-0.208013223250538+0.153598698328065i</v>
      </c>
      <c r="N25" s="4">
        <f t="shared" si="7"/>
        <v>132.11764548249363</v>
      </c>
      <c r="O25" s="4">
        <f t="shared" si="8"/>
        <v>-5.1401453854197392</v>
      </c>
      <c r="P25" s="4">
        <f t="shared" si="9"/>
        <v>132.19675569985878</v>
      </c>
      <c r="Q25" s="4">
        <f t="shared" si="10"/>
        <v>-11.748202394216154</v>
      </c>
      <c r="R25" s="4">
        <f t="shared" si="11"/>
        <v>1.102380846832965</v>
      </c>
      <c r="S25" s="4">
        <f t="shared" si="2"/>
        <v>-166.31787118706211</v>
      </c>
      <c r="T25" s="4">
        <f t="shared" si="2"/>
        <v>1.124085099941458</v>
      </c>
      <c r="U25" s="4">
        <f t="shared" si="2"/>
        <v>143.5575308223529</v>
      </c>
    </row>
    <row r="26" spans="1:21">
      <c r="A26" s="4">
        <v>319.290075</v>
      </c>
      <c r="B26" s="4">
        <v>876052.77899872896</v>
      </c>
      <c r="C26" s="5">
        <v>-0.66043648022935098</v>
      </c>
      <c r="D26" s="4">
        <v>885945.004555661</v>
      </c>
      <c r="E26" s="4">
        <v>-0.60581360363414705</v>
      </c>
      <c r="F26" s="4">
        <v>-3938970.1867392501</v>
      </c>
      <c r="G26" s="5">
        <v>-0.219696716652238</v>
      </c>
      <c r="H26" s="4">
        <v>-3974598.3298548101</v>
      </c>
      <c r="I26" s="4">
        <v>0.14481853077138601</v>
      </c>
      <c r="J26" s="4" t="str">
        <f t="shared" si="3"/>
        <v>876052.778998729-3938970.18673925i</v>
      </c>
      <c r="K26" s="4" t="str">
        <f t="shared" si="4"/>
        <v>-0.660436480229351-0.219696716652238i</v>
      </c>
      <c r="L26" s="4" t="str">
        <f t="shared" si="5"/>
        <v>885945.004555661-3974598.32985481i</v>
      </c>
      <c r="M26" s="4" t="str">
        <f t="shared" si="6"/>
        <v>-0.605813603634147+0.144818530771386i</v>
      </c>
      <c r="N26" s="4">
        <f t="shared" si="7"/>
        <v>132.11733212077755</v>
      </c>
      <c r="O26" s="4">
        <f t="shared" si="8"/>
        <v>-3.147573225053435</v>
      </c>
      <c r="P26" s="4">
        <f t="shared" si="9"/>
        <v>132.19645565046844</v>
      </c>
      <c r="Q26" s="4">
        <f t="shared" si="10"/>
        <v>-4.1118783018303882</v>
      </c>
      <c r="R26" s="4">
        <f t="shared" si="11"/>
        <v>-77.46112835019467</v>
      </c>
      <c r="S26" s="4">
        <f t="shared" si="2"/>
        <v>-161.60009834519911</v>
      </c>
      <c r="T26" s="4">
        <f t="shared" si="2"/>
        <v>-77.434094635916054</v>
      </c>
      <c r="U26" s="4">
        <f t="shared" si="2"/>
        <v>166.5558526790789</v>
      </c>
    </row>
    <row r="27" spans="1:21">
      <c r="A27" s="4">
        <v>401.94414</v>
      </c>
      <c r="B27" s="4">
        <v>3924548.0445652502</v>
      </c>
      <c r="C27" s="5">
        <v>-0.12946828197312801</v>
      </c>
      <c r="D27" s="4">
        <v>3961046.2087025698</v>
      </c>
      <c r="E27" s="4">
        <v>-0.130991449429603</v>
      </c>
      <c r="F27" s="4">
        <v>-937458.20363531203</v>
      </c>
      <c r="G27" s="5">
        <v>0.16219882999381799</v>
      </c>
      <c r="H27" s="4">
        <v>-943710.53597514401</v>
      </c>
      <c r="I27" s="4">
        <v>-8.1189479356337899E-2</v>
      </c>
      <c r="J27" s="4" t="str">
        <f t="shared" si="3"/>
        <v>3924548.04456525-937458.203635312i</v>
      </c>
      <c r="K27" s="4" t="str">
        <f t="shared" si="4"/>
        <v>-0.129468281973128+0.162198829993818i</v>
      </c>
      <c r="L27" s="4" t="str">
        <f t="shared" si="5"/>
        <v>3961046.20870257-943710.535975144i</v>
      </c>
      <c r="M27" s="4" t="str">
        <f t="shared" si="6"/>
        <v>-0.130991449429603-0.0811894793563379i</v>
      </c>
      <c r="N27" s="4">
        <f t="shared" si="7"/>
        <v>132.11678548513416</v>
      </c>
      <c r="O27" s="4">
        <f t="shared" si="8"/>
        <v>-13.658201219465786</v>
      </c>
      <c r="P27" s="4">
        <f t="shared" si="9"/>
        <v>132.19597011167858</v>
      </c>
      <c r="Q27" s="4">
        <f t="shared" si="10"/>
        <v>-16.243274006830745</v>
      </c>
      <c r="R27" s="4">
        <f t="shared" si="11"/>
        <v>-13.43451903663443</v>
      </c>
      <c r="S27" s="4">
        <f t="shared" si="2"/>
        <v>128.59712112105439</v>
      </c>
      <c r="T27" s="4">
        <f t="shared" si="2"/>
        <v>-13.400769554149388</v>
      </c>
      <c r="U27" s="4">
        <f t="shared" si="2"/>
        <v>-148.20905589254389</v>
      </c>
    </row>
    <row r="28" spans="1:21">
      <c r="A28" s="4">
        <v>506.01529900000003</v>
      </c>
      <c r="B28" s="4">
        <v>3046280.8978287699</v>
      </c>
      <c r="C28" s="5">
        <v>0.121805892576034</v>
      </c>
      <c r="D28" s="4">
        <v>3072251.27435765</v>
      </c>
      <c r="E28" s="4">
        <v>0.41831886147039798</v>
      </c>
      <c r="F28" s="4">
        <v>2645534.0896904198</v>
      </c>
      <c r="G28" s="5">
        <v>-0.20013673599601001</v>
      </c>
      <c r="H28" s="4">
        <v>2672063.8038559998</v>
      </c>
      <c r="I28" s="4">
        <v>1.03033277874736</v>
      </c>
      <c r="J28" s="4" t="str">
        <f t="shared" si="3"/>
        <v>3046280.89782877+2645534.08969042i</v>
      </c>
      <c r="K28" s="4" t="str">
        <f t="shared" si="4"/>
        <v>0.121805892576034-0.20013673599601i</v>
      </c>
      <c r="L28" s="4" t="str">
        <f t="shared" si="5"/>
        <v>3072251.27435765+2672063.803856i</v>
      </c>
      <c r="M28" s="4" t="str">
        <f t="shared" si="6"/>
        <v>0.418318861470398+1.03033277874736i</v>
      </c>
      <c r="N28" s="4">
        <f t="shared" si="7"/>
        <v>132.11619130786204</v>
      </c>
      <c r="O28" s="4">
        <f t="shared" si="8"/>
        <v>-12.604957829382249</v>
      </c>
      <c r="P28" s="4">
        <f t="shared" si="9"/>
        <v>132.19549238083397</v>
      </c>
      <c r="Q28" s="4">
        <f t="shared" si="10"/>
        <v>0.92220920326248668</v>
      </c>
      <c r="R28" s="4">
        <f t="shared" si="11"/>
        <v>40.972590087617732</v>
      </c>
      <c r="S28" s="4">
        <f t="shared" si="2"/>
        <v>-58.674747322586519</v>
      </c>
      <c r="T28" s="4">
        <f t="shared" si="2"/>
        <v>41.014831112879421</v>
      </c>
      <c r="U28" s="4">
        <f t="shared" si="2"/>
        <v>67.902668365959713</v>
      </c>
    </row>
    <row r="29" spans="1:21">
      <c r="A29" s="4">
        <v>636.97722999999996</v>
      </c>
      <c r="B29" s="4">
        <v>-749290.36324675602</v>
      </c>
      <c r="C29" s="5">
        <v>-0.29620248668694699</v>
      </c>
      <c r="D29" s="4">
        <v>-752473.32840722997</v>
      </c>
      <c r="E29" s="4">
        <v>0.88101082582381396</v>
      </c>
      <c r="F29" s="4">
        <v>-3964150.6467682198</v>
      </c>
      <c r="G29" s="5">
        <v>-0.47759390673429403</v>
      </c>
      <c r="H29" s="4">
        <v>-4001272.36682666</v>
      </c>
      <c r="I29" s="4">
        <v>-1.0501929010739299</v>
      </c>
      <c r="J29" s="4" t="str">
        <f t="shared" si="3"/>
        <v>-749290.363246756-3964150.64676822i</v>
      </c>
      <c r="K29" s="4" t="str">
        <f t="shared" si="4"/>
        <v>-0.296202486686947-0.477593906734294i</v>
      </c>
      <c r="L29" s="4" t="str">
        <f t="shared" si="5"/>
        <v>-752473.32840723-4001272.36682666i</v>
      </c>
      <c r="M29" s="4" t="str">
        <f t="shared" si="6"/>
        <v>0.881010825823814-1.05019290107393i</v>
      </c>
      <c r="N29" s="4">
        <f t="shared" si="7"/>
        <v>132.11545717265122</v>
      </c>
      <c r="O29" s="4">
        <f t="shared" si="8"/>
        <v>-5.0054407183328173</v>
      </c>
      <c r="P29" s="4">
        <f t="shared" si="9"/>
        <v>132.19490130602895</v>
      </c>
      <c r="Q29" s="4">
        <f t="shared" si="10"/>
        <v>2.7394647306779349</v>
      </c>
      <c r="R29" s="4">
        <f t="shared" si="11"/>
        <v>-100.70357700012521</v>
      </c>
      <c r="S29" s="4">
        <f t="shared" ref="S29:S74" si="12">DEGREES(IMARGUMENT(K29))</f>
        <v>-121.80708075597668</v>
      </c>
      <c r="T29" s="4">
        <f t="shared" ref="T29:T74" si="13">DEGREES(IMARGUMENT(L29))</f>
        <v>-100.65056573491567</v>
      </c>
      <c r="U29" s="4">
        <f t="shared" ref="U29:U74" si="14">DEGREES(IMARGUMENT(M29))</f>
        <v>-50.006584644863317</v>
      </c>
    </row>
    <row r="30" spans="1:21">
      <c r="A30" s="4">
        <v>801.91144499999996</v>
      </c>
      <c r="B30" s="4">
        <v>3076005.6394292698</v>
      </c>
      <c r="C30" s="5">
        <v>3.6219880975531998E-2</v>
      </c>
      <c r="D30" s="4">
        <v>3101284.04182261</v>
      </c>
      <c r="E30" s="4">
        <v>-0.601458232636912</v>
      </c>
      <c r="F30" s="4">
        <v>2609959.13157258</v>
      </c>
      <c r="G30" s="5">
        <v>0.35258010990834099</v>
      </c>
      <c r="H30" s="4">
        <v>2637607.0637192698</v>
      </c>
      <c r="I30" s="4">
        <v>0.21275222467281199</v>
      </c>
      <c r="J30" s="4" t="str">
        <f t="shared" si="3"/>
        <v>3076005.63942927+2609959.13157258i</v>
      </c>
      <c r="K30" s="4" t="str">
        <f t="shared" si="4"/>
        <v>0.036219880975532+0.352580109908341i</v>
      </c>
      <c r="L30" s="4" t="str">
        <f t="shared" si="5"/>
        <v>3101284.04182261+2637607.06371927i</v>
      </c>
      <c r="M30" s="4" t="str">
        <f t="shared" si="6"/>
        <v>-0.601458232636912+0.212752224672812i</v>
      </c>
      <c r="N30" s="4">
        <f t="shared" si="7"/>
        <v>132.11486235273088</v>
      </c>
      <c r="O30" s="4">
        <f t="shared" si="8"/>
        <v>-9.0092526076999455</v>
      </c>
      <c r="P30" s="4">
        <f t="shared" si="9"/>
        <v>132.19451800698374</v>
      </c>
      <c r="Q30" s="4">
        <f t="shared" si="10"/>
        <v>-3.9038903592343384</v>
      </c>
      <c r="R30" s="4">
        <f t="shared" si="11"/>
        <v>40.31426209638574</v>
      </c>
      <c r="S30" s="4">
        <f t="shared" si="12"/>
        <v>84.134688636757062</v>
      </c>
      <c r="T30" s="4">
        <f t="shared" si="13"/>
        <v>40.380788684523694</v>
      </c>
      <c r="U30" s="4">
        <f t="shared" si="14"/>
        <v>160.51992034733451</v>
      </c>
    </row>
    <row r="31" spans="1:21">
      <c r="A31" s="4">
        <v>1009.546788</v>
      </c>
      <c r="B31" s="4">
        <v>-3925966.3010095898</v>
      </c>
      <c r="C31" s="5">
        <v>0.66213749208276595</v>
      </c>
      <c r="D31" s="4">
        <v>-3963668.11198491</v>
      </c>
      <c r="E31" s="4">
        <v>-0.11426811442372301</v>
      </c>
      <c r="F31" s="4">
        <v>926787.49273753597</v>
      </c>
      <c r="G31" s="5">
        <v>0.59939070063415401</v>
      </c>
      <c r="H31" s="4">
        <v>929600.14913554897</v>
      </c>
      <c r="I31" s="4">
        <v>0.35516620543791</v>
      </c>
      <c r="J31" s="4" t="str">
        <f t="shared" si="3"/>
        <v>-3925966.30100959+926787.492737536i</v>
      </c>
      <c r="K31" s="4" t="str">
        <f t="shared" si="4"/>
        <v>0.662137492082766+0.599390700634154i</v>
      </c>
      <c r="L31" s="4" t="str">
        <f t="shared" si="5"/>
        <v>-3963668.11198491+929600.149135549i</v>
      </c>
      <c r="M31" s="4" t="str">
        <f t="shared" si="6"/>
        <v>-0.114268114423723+0.35516620543791i</v>
      </c>
      <c r="N31" s="4">
        <f t="shared" si="7"/>
        <v>132.11444844354412</v>
      </c>
      <c r="O31" s="4">
        <f t="shared" si="8"/>
        <v>-0.98162982892929451</v>
      </c>
      <c r="P31" s="4">
        <f t="shared" si="9"/>
        <v>132.19448855821855</v>
      </c>
      <c r="Q31" s="4">
        <f t="shared" si="10"/>
        <v>-8.5636003010973383</v>
      </c>
      <c r="R31" s="4">
        <f t="shared" si="11"/>
        <v>166.71757714466423</v>
      </c>
      <c r="S31" s="4">
        <f t="shared" si="12"/>
        <v>42.152528153560134</v>
      </c>
      <c r="T31" s="4">
        <f t="shared" si="13"/>
        <v>166.80095655163237</v>
      </c>
      <c r="U31" s="4">
        <f t="shared" si="14"/>
        <v>107.83461267951957</v>
      </c>
    </row>
    <row r="32" spans="1:21">
      <c r="A32" s="4">
        <v>1271.06546</v>
      </c>
      <c r="B32" s="4">
        <v>-860694.81530700205</v>
      </c>
      <c r="C32" s="5">
        <v>-0.58845737744428905</v>
      </c>
      <c r="D32" s="4">
        <v>-861462.86488258198</v>
      </c>
      <c r="E32" s="4">
        <v>6.0779819996552999E-2</v>
      </c>
      <c r="F32" s="4">
        <v>-3940624.7067848602</v>
      </c>
      <c r="G32" s="5">
        <v>0.217604140539152</v>
      </c>
      <c r="H32" s="4">
        <v>-3978939.6910333498</v>
      </c>
      <c r="I32" s="4">
        <v>2.0078121295955601E-2</v>
      </c>
      <c r="J32" s="4" t="str">
        <f t="shared" si="3"/>
        <v>-860694.815307002-3940624.70678486i</v>
      </c>
      <c r="K32" s="4" t="str">
        <f t="shared" si="4"/>
        <v>-0.588457377444289+0.217604140539152i</v>
      </c>
      <c r="L32" s="4" t="str">
        <f t="shared" si="5"/>
        <v>-861462.864882582-3978939.69103335i</v>
      </c>
      <c r="M32" s="4" t="str">
        <f t="shared" si="6"/>
        <v>0.060779819996553+0.0200781212959556i</v>
      </c>
      <c r="N32" s="4">
        <f t="shared" si="7"/>
        <v>132.11369365168497</v>
      </c>
      <c r="O32" s="4">
        <f t="shared" si="8"/>
        <v>-4.0490778599552861</v>
      </c>
      <c r="P32" s="4">
        <f t="shared" si="9"/>
        <v>132.19429413279482</v>
      </c>
      <c r="Q32" s="4">
        <f t="shared" si="10"/>
        <v>-23.875003841830768</v>
      </c>
      <c r="R32" s="4">
        <f t="shared" si="11"/>
        <v>-102.32081381548321</v>
      </c>
      <c r="S32" s="4">
        <f t="shared" si="12"/>
        <v>159.70623987740379</v>
      </c>
      <c r="T32" s="4">
        <f t="shared" si="13"/>
        <v>-102.21630966195026</v>
      </c>
      <c r="U32" s="4">
        <f t="shared" si="14"/>
        <v>18.280553848466393</v>
      </c>
    </row>
    <row r="33" spans="1:21">
      <c r="A33" s="4">
        <v>1600.019278</v>
      </c>
      <c r="B33" s="4">
        <v>-3428607.5080657499</v>
      </c>
      <c r="C33" s="5">
        <v>0.54786516754135695</v>
      </c>
      <c r="D33" s="4">
        <v>-3456063.0631253398</v>
      </c>
      <c r="E33" s="4">
        <v>3.02870393734695E-2</v>
      </c>
      <c r="F33" s="4">
        <v>-2121722.5946413502</v>
      </c>
      <c r="G33" s="5">
        <v>-9.7159257579889999E-3</v>
      </c>
      <c r="H33" s="4">
        <v>-2149629.9252200499</v>
      </c>
      <c r="I33" s="4">
        <v>0.19159994689785401</v>
      </c>
      <c r="J33" s="4" t="str">
        <f t="shared" si="3"/>
        <v>-3428607.50806575-2121722.59464135i</v>
      </c>
      <c r="K33" s="4" t="str">
        <f t="shared" si="4"/>
        <v>0.547865167541357-0.009715925757989i</v>
      </c>
      <c r="L33" s="4" t="str">
        <f t="shared" si="5"/>
        <v>-3456063.06312534-2149629.92522005i</v>
      </c>
      <c r="M33" s="4" t="str">
        <f t="shared" si="6"/>
        <v>0.0302870393734695+0.191599946897854i</v>
      </c>
      <c r="N33" s="4">
        <f t="shared" si="7"/>
        <v>132.11041907420142</v>
      </c>
      <c r="O33" s="4">
        <f t="shared" si="8"/>
        <v>-5.2251605672945214</v>
      </c>
      <c r="P33" s="4">
        <f t="shared" si="9"/>
        <v>132.19198799741659</v>
      </c>
      <c r="Q33" s="4">
        <f t="shared" si="10"/>
        <v>-14.244906604925404</v>
      </c>
      <c r="R33" s="4">
        <f t="shared" si="11"/>
        <v>-148.24956630754255</v>
      </c>
      <c r="S33" s="4">
        <f t="shared" si="12"/>
        <v>-1.0159857299835677</v>
      </c>
      <c r="T33" s="4">
        <f t="shared" si="13"/>
        <v>-148.11888154952106</v>
      </c>
      <c r="U33" s="4">
        <f t="shared" si="14"/>
        <v>81.017332237376664</v>
      </c>
    </row>
    <row r="34" spans="1:21">
      <c r="A34" s="4">
        <v>2014.3138919999999</v>
      </c>
      <c r="B34" s="4">
        <v>-3055853.0741373301</v>
      </c>
      <c r="C34" s="5">
        <v>-0.71121474112564498</v>
      </c>
      <c r="D34" s="4">
        <v>-3092744.82292835</v>
      </c>
      <c r="E34" s="4">
        <v>-0.15994786083588799</v>
      </c>
      <c r="F34" s="4">
        <v>2626026.05743297</v>
      </c>
      <c r="G34" s="5">
        <v>-1.53646835496229E-2</v>
      </c>
      <c r="H34" s="4">
        <v>2642479.0519415899</v>
      </c>
      <c r="I34" s="4">
        <v>0.285035922033894</v>
      </c>
      <c r="J34" s="4" t="str">
        <f t="shared" si="3"/>
        <v>-3055853.07413733+2626026.05743297i</v>
      </c>
      <c r="K34" s="4" t="str">
        <f t="shared" si="4"/>
        <v>-0.711214741125645-0.0153646835496229i</v>
      </c>
      <c r="L34" s="4" t="str">
        <f t="shared" si="5"/>
        <v>-3092744.82292835+2642479.05194159i</v>
      </c>
      <c r="M34" s="4" t="str">
        <f t="shared" si="6"/>
        <v>-0.159947860835888+0.285035922033894i</v>
      </c>
      <c r="N34" s="4">
        <f t="shared" si="7"/>
        <v>132.10432252759404</v>
      </c>
      <c r="O34" s="4">
        <f t="shared" si="8"/>
        <v>-2.9579585926043297</v>
      </c>
      <c r="P34" s="4">
        <f t="shared" si="9"/>
        <v>132.18739373051767</v>
      </c>
      <c r="Q34" s="4">
        <f t="shared" si="10"/>
        <v>-9.7131167015801303</v>
      </c>
      <c r="R34" s="4">
        <f t="shared" si="11"/>
        <v>139.32611388353084</v>
      </c>
      <c r="S34" s="4">
        <f t="shared" si="12"/>
        <v>-178.76240668866376</v>
      </c>
      <c r="T34" s="4">
        <f t="shared" si="13"/>
        <v>139.4890173786039</v>
      </c>
      <c r="U34" s="4">
        <f t="shared" si="14"/>
        <v>119.2989545655186</v>
      </c>
    </row>
    <row r="35" spans="1:21">
      <c r="A35" s="4">
        <v>2536.1076779999999</v>
      </c>
      <c r="B35" s="4">
        <v>4003375.9404886202</v>
      </c>
      <c r="C35" s="5">
        <v>0.13355448694934999</v>
      </c>
      <c r="D35" s="4">
        <v>4041335.9855864798</v>
      </c>
      <c r="E35" s="4">
        <v>0.15812438405453699</v>
      </c>
      <c r="F35" s="4">
        <v>431187.56894940598</v>
      </c>
      <c r="G35" s="5">
        <v>0.351661940091892</v>
      </c>
      <c r="H35" s="4">
        <v>449698.90822821303</v>
      </c>
      <c r="I35" s="4">
        <v>0.52132646761673396</v>
      </c>
      <c r="J35" s="4" t="str">
        <f t="shared" si="3"/>
        <v>4003375.94048862+431187.568949406i</v>
      </c>
      <c r="K35" s="4" t="str">
        <f t="shared" si="4"/>
        <v>0.13355448694935+0.351661940091892i</v>
      </c>
      <c r="L35" s="4" t="str">
        <f t="shared" si="5"/>
        <v>4041335.98558648+449698.908228213i</v>
      </c>
      <c r="M35" s="4" t="str">
        <f t="shared" si="6"/>
        <v>0.158124384054537+0.521326467616734i</v>
      </c>
      <c r="N35" s="4">
        <f t="shared" si="7"/>
        <v>132.09861819434133</v>
      </c>
      <c r="O35" s="4">
        <f t="shared" si="8"/>
        <v>-8.4923459475670331</v>
      </c>
      <c r="P35" s="4">
        <f t="shared" si="9"/>
        <v>132.18394366944005</v>
      </c>
      <c r="Q35" s="4">
        <f t="shared" si="10"/>
        <v>-5.2755862836432401</v>
      </c>
      <c r="R35" s="4">
        <f t="shared" si="11"/>
        <v>6.1474006085137551</v>
      </c>
      <c r="S35" s="4">
        <f t="shared" si="12"/>
        <v>69.204179457955703</v>
      </c>
      <c r="T35" s="4">
        <f t="shared" si="13"/>
        <v>6.3494566537114352</v>
      </c>
      <c r="U35" s="4">
        <f t="shared" si="14"/>
        <v>73.12683885930042</v>
      </c>
    </row>
    <row r="36" spans="1:21">
      <c r="A36" s="4">
        <v>3192.5215979999998</v>
      </c>
      <c r="B36" s="4">
        <v>3451189.2785562002</v>
      </c>
      <c r="C36" s="5">
        <v>-0.43098711840972398</v>
      </c>
      <c r="D36" s="4">
        <v>3495660.5938648698</v>
      </c>
      <c r="E36" s="4">
        <v>0.36311398788086802</v>
      </c>
      <c r="F36" s="4">
        <v>-2063771.26486832</v>
      </c>
      <c r="G36" s="5">
        <v>0.92010659331182898</v>
      </c>
      <c r="H36" s="4">
        <v>-2069831.9169153301</v>
      </c>
      <c r="I36" s="4">
        <v>-1.3748907214828801</v>
      </c>
      <c r="J36" s="4" t="str">
        <f t="shared" si="3"/>
        <v>3451189.2785562-2063771.26486832i</v>
      </c>
      <c r="K36" s="4" t="str">
        <f t="shared" si="4"/>
        <v>-0.430987118409724+0.920106593311829i</v>
      </c>
      <c r="L36" s="4" t="str">
        <f t="shared" si="5"/>
        <v>3495660.59386487-2069831.91691533i</v>
      </c>
      <c r="M36" s="4" t="str">
        <f t="shared" si="6"/>
        <v>0.363113987880868-1.37489072148288i</v>
      </c>
      <c r="N36" s="4">
        <f t="shared" si="7"/>
        <v>132.08706240161354</v>
      </c>
      <c r="O36" s="4">
        <f t="shared" si="8"/>
        <v>0.13825295900299422</v>
      </c>
      <c r="P36" s="4">
        <f t="shared" si="9"/>
        <v>132.17585192822256</v>
      </c>
      <c r="Q36" s="4">
        <f t="shared" si="10"/>
        <v>3.0581900844554233</v>
      </c>
      <c r="R36" s="4">
        <f t="shared" si="11"/>
        <v>-30.878935464249022</v>
      </c>
      <c r="S36" s="4">
        <f t="shared" si="12"/>
        <v>115.09886098366286</v>
      </c>
      <c r="T36" s="4">
        <f t="shared" si="13"/>
        <v>-30.630397523034397</v>
      </c>
      <c r="U36" s="4">
        <f t="shared" si="14"/>
        <v>-75.205757901708537</v>
      </c>
    </row>
    <row r="37" spans="1:21">
      <c r="A37" s="4">
        <v>4019.4603149999998</v>
      </c>
      <c r="B37" s="4">
        <v>-1633318.4366444501</v>
      </c>
      <c r="C37" s="5">
        <v>1.34367605560084E-2</v>
      </c>
      <c r="D37" s="4">
        <v>-1631531.3643556901</v>
      </c>
      <c r="E37" s="4">
        <v>-0.79184974362654703</v>
      </c>
      <c r="F37" s="4">
        <v>-3666946.12338161</v>
      </c>
      <c r="G37" s="5">
        <v>0.358094696174037</v>
      </c>
      <c r="H37" s="4">
        <v>-3715502.3324451898</v>
      </c>
      <c r="I37" s="4">
        <v>5.9745509213857802E-2</v>
      </c>
      <c r="J37" s="4" t="str">
        <f t="shared" si="3"/>
        <v>-1633318.43664445-3666946.12338161i</v>
      </c>
      <c r="K37" s="4" t="str">
        <f t="shared" si="4"/>
        <v>0.0134367605560084+0.358094696174037i</v>
      </c>
      <c r="L37" s="4" t="str">
        <f t="shared" si="5"/>
        <v>-1631531.36435569-3715502.33244519i</v>
      </c>
      <c r="M37" s="4" t="str">
        <f t="shared" si="6"/>
        <v>-0.791849743626547+0.0597455092138578i</v>
      </c>
      <c r="N37" s="4">
        <f t="shared" si="7"/>
        <v>132.07209369080226</v>
      </c>
      <c r="O37" s="4">
        <f t="shared" si="8"/>
        <v>-8.9139317925362267</v>
      </c>
      <c r="P37" s="4">
        <f t="shared" si="9"/>
        <v>132.16610586810108</v>
      </c>
      <c r="Q37" s="4">
        <f t="shared" si="10"/>
        <v>-2.0024910358254511</v>
      </c>
      <c r="R37" s="4">
        <f t="shared" si="11"/>
        <v>-114.00898179915292</v>
      </c>
      <c r="S37" s="4">
        <f t="shared" si="12"/>
        <v>87.85110289106315</v>
      </c>
      <c r="T37" s="4">
        <f t="shared" si="13"/>
        <v>-113.70697978086966</v>
      </c>
      <c r="U37" s="4">
        <f t="shared" si="14"/>
        <v>175.68517655864989</v>
      </c>
    </row>
    <row r="38" spans="1:21">
      <c r="A38" s="4">
        <v>5059.7908310000003</v>
      </c>
      <c r="B38" s="4">
        <v>-478119.45962981402</v>
      </c>
      <c r="C38" s="5">
        <v>0.52977777733172005</v>
      </c>
      <c r="D38" s="4">
        <v>-509023.340177871</v>
      </c>
      <c r="E38" s="4">
        <v>-0.29557142737357101</v>
      </c>
      <c r="F38" s="4">
        <v>3974180.7020564098</v>
      </c>
      <c r="G38" s="5">
        <v>-0.30910614621183602</v>
      </c>
      <c r="H38" s="4">
        <v>4017810.4829592798</v>
      </c>
      <c r="I38" s="4">
        <v>0.76905312430219896</v>
      </c>
      <c r="J38" s="4" t="str">
        <f t="shared" si="3"/>
        <v>-478119.459629814+3974180.70205641i</v>
      </c>
      <c r="K38" s="4" t="str">
        <f t="shared" si="4"/>
        <v>0.52977777733172-0.309106146211836i</v>
      </c>
      <c r="L38" s="4" t="str">
        <f t="shared" si="5"/>
        <v>-509023.340177871+4017810.48295928i</v>
      </c>
      <c r="M38" s="4" t="str">
        <f t="shared" si="6"/>
        <v>-0.295571427373571+0.769053124302199i</v>
      </c>
      <c r="N38" s="4">
        <f t="shared" si="7"/>
        <v>132.04735985076101</v>
      </c>
      <c r="O38" s="4">
        <f t="shared" si="8"/>
        <v>-4.2456839142254612</v>
      </c>
      <c r="P38" s="4">
        <f t="shared" si="9"/>
        <v>132.14894314313597</v>
      </c>
      <c r="Q38" s="4">
        <f t="shared" si="10"/>
        <v>-1.6825485434141516</v>
      </c>
      <c r="R38" s="4">
        <f t="shared" si="11"/>
        <v>96.860080230242829</v>
      </c>
      <c r="S38" s="4">
        <f t="shared" si="12"/>
        <v>-30.262013471649279</v>
      </c>
      <c r="T38" s="4">
        <f t="shared" si="13"/>
        <v>97.220433876494681</v>
      </c>
      <c r="U38" s="4">
        <f t="shared" si="14"/>
        <v>111.0233459599802</v>
      </c>
    </row>
    <row r="39" spans="1:21">
      <c r="A39" s="4">
        <v>6369.7354210000003</v>
      </c>
      <c r="B39" s="4">
        <v>-2299998.7426459999</v>
      </c>
      <c r="C39" s="5">
        <v>0.12612557022593099</v>
      </c>
      <c r="D39" s="4">
        <v>-2353957.1536218398</v>
      </c>
      <c r="E39" s="4">
        <v>0.171679057023187</v>
      </c>
      <c r="F39" s="4">
        <v>3257972.4830527799</v>
      </c>
      <c r="G39" s="5">
        <v>1.16649474663417</v>
      </c>
      <c r="H39" s="4">
        <v>3283183.4840761302</v>
      </c>
      <c r="I39" s="4">
        <v>0.67964823540007502</v>
      </c>
      <c r="J39" s="4" t="str">
        <f t="shared" si="3"/>
        <v>-2299998.742646+3257972.48305278i</v>
      </c>
      <c r="K39" s="4" t="str">
        <f t="shared" si="4"/>
        <v>0.126125570225931+1.16649474663417i</v>
      </c>
      <c r="L39" s="4" t="str">
        <f t="shared" si="5"/>
        <v>-2353957.15362184+3283183.48407613i</v>
      </c>
      <c r="M39" s="4" t="str">
        <f t="shared" si="6"/>
        <v>0.171679057023187+0.679648235400075i</v>
      </c>
      <c r="N39" s="4">
        <f t="shared" si="7"/>
        <v>132.01516714097107</v>
      </c>
      <c r="O39" s="4">
        <f t="shared" si="8"/>
        <v>1.3881333453391091</v>
      </c>
      <c r="P39" s="4">
        <f t="shared" si="9"/>
        <v>132.12731013538783</v>
      </c>
      <c r="Q39" s="4">
        <f t="shared" si="10"/>
        <v>-3.0856889342173233</v>
      </c>
      <c r="R39" s="4">
        <f t="shared" si="11"/>
        <v>125.22056791716403</v>
      </c>
      <c r="S39" s="4">
        <f t="shared" si="12"/>
        <v>83.828949538886405</v>
      </c>
      <c r="T39" s="4">
        <f t="shared" si="13"/>
        <v>125.63953882159555</v>
      </c>
      <c r="U39" s="4">
        <f t="shared" si="14"/>
        <v>75.823643302641329</v>
      </c>
    </row>
    <row r="40" spans="1:21">
      <c r="A40" s="4">
        <v>8019.2636849999999</v>
      </c>
      <c r="B40" s="4">
        <v>-836632.96748280502</v>
      </c>
      <c r="C40" s="5">
        <v>1.13969074460113</v>
      </c>
      <c r="D40" s="4">
        <v>-881163.86693373299</v>
      </c>
      <c r="E40" s="4">
        <v>0.136537048201998</v>
      </c>
      <c r="F40" s="4">
        <v>3880882.0033885301</v>
      </c>
      <c r="G40" s="5">
        <v>0.113066006258526</v>
      </c>
      <c r="H40" s="4">
        <v>3930517.8323528101</v>
      </c>
      <c r="I40" s="4">
        <v>0.43548904902636398</v>
      </c>
      <c r="J40" s="4" t="str">
        <f t="shared" si="3"/>
        <v>-836632.967482805+3880882.00338853i</v>
      </c>
      <c r="K40" s="4" t="str">
        <f t="shared" si="4"/>
        <v>1.13969074460113+0.113066006258526i</v>
      </c>
      <c r="L40" s="4" t="str">
        <f t="shared" si="5"/>
        <v>-881163.866933733+3930517.83235281i</v>
      </c>
      <c r="M40" s="4" t="str">
        <f t="shared" si="6"/>
        <v>0.136537048201998+0.435489049026364i</v>
      </c>
      <c r="N40" s="4">
        <f t="shared" si="7"/>
        <v>131.97589275772893</v>
      </c>
      <c r="O40" s="4">
        <f t="shared" si="8"/>
        <v>1.1782753742839913</v>
      </c>
      <c r="P40" s="4">
        <f t="shared" si="9"/>
        <v>132.10195952572388</v>
      </c>
      <c r="Q40" s="4">
        <f t="shared" si="10"/>
        <v>-6.813251636436636</v>
      </c>
      <c r="R40" s="4">
        <f t="shared" si="11"/>
        <v>102.16553281087377</v>
      </c>
      <c r="S40" s="4">
        <f t="shared" si="12"/>
        <v>5.6656390929393599</v>
      </c>
      <c r="T40" s="4">
        <f t="shared" si="13"/>
        <v>102.6359398455113</v>
      </c>
      <c r="U40" s="4">
        <f t="shared" si="14"/>
        <v>72.592446519388631</v>
      </c>
    </row>
    <row r="41" spans="1:21">
      <c r="A41" s="4">
        <v>10096.471541000001</v>
      </c>
      <c r="B41" s="4">
        <v>-774205.53406643705</v>
      </c>
      <c r="C41" s="5">
        <v>-1.33740161455867</v>
      </c>
      <c r="D41" s="4">
        <v>-752327.537521914</v>
      </c>
      <c r="E41" s="4">
        <v>0.28794123168737401</v>
      </c>
      <c r="F41" s="4">
        <v>-3872100.3003438599</v>
      </c>
      <c r="G41" s="5">
        <v>-0.92503141889621798</v>
      </c>
      <c r="H41" s="4">
        <v>-3943176.8305415502</v>
      </c>
      <c r="I41" s="4">
        <v>-0.65925369149873303</v>
      </c>
      <c r="J41" s="4" t="str">
        <f t="shared" si="3"/>
        <v>-774205.534066437-3872100.30034386i</v>
      </c>
      <c r="K41" s="4" t="str">
        <f t="shared" si="4"/>
        <v>-1.33740161455867-0.925031418896218i</v>
      </c>
      <c r="L41" s="4" t="str">
        <f t="shared" si="5"/>
        <v>-752327.537521914-3943176.83054155i</v>
      </c>
      <c r="M41" s="4" t="str">
        <f t="shared" si="6"/>
        <v>0.287941231687374-0.659253691498733i</v>
      </c>
      <c r="N41" s="4">
        <f t="shared" si="7"/>
        <v>131.92917283088778</v>
      </c>
      <c r="O41" s="4">
        <f t="shared" si="8"/>
        <v>4.2231502876591227</v>
      </c>
      <c r="P41" s="4">
        <f t="shared" si="9"/>
        <v>132.07220614331646</v>
      </c>
      <c r="Q41" s="4">
        <f t="shared" si="10"/>
        <v>-2.8606817701382949</v>
      </c>
      <c r="R41" s="4">
        <f t="shared" si="11"/>
        <v>-101.30688017370709</v>
      </c>
      <c r="S41" s="4">
        <f t="shared" si="12"/>
        <v>-145.32981822313451</v>
      </c>
      <c r="T41" s="4">
        <f t="shared" si="13"/>
        <v>-100.80177112927453</v>
      </c>
      <c r="U41" s="4">
        <f t="shared" si="14"/>
        <v>-66.405811239838627</v>
      </c>
    </row>
    <row r="42" spans="1:21">
      <c r="A42" s="4">
        <v>12710.556156000001</v>
      </c>
      <c r="B42" s="4">
        <v>-2550157.4780337699</v>
      </c>
      <c r="C42" s="5">
        <v>0.77147340070790704</v>
      </c>
      <c r="D42" s="4">
        <v>-2625403.1223491998</v>
      </c>
      <c r="E42" s="4">
        <v>-0.26739288265711803</v>
      </c>
      <c r="F42" s="4">
        <v>2985515.7755796202</v>
      </c>
      <c r="G42" s="5">
        <v>-0.39704694134093899</v>
      </c>
      <c r="H42" s="4">
        <v>3018268.32211868</v>
      </c>
      <c r="I42" s="4">
        <v>-0.27378104796713798</v>
      </c>
      <c r="J42" s="4" t="str">
        <f t="shared" si="3"/>
        <v>-2550157.47803377+2985515.77557962i</v>
      </c>
      <c r="K42" s="4" t="str">
        <f t="shared" si="4"/>
        <v>0.771473400707907-0.397046941340939i</v>
      </c>
      <c r="L42" s="4" t="str">
        <f t="shared" si="5"/>
        <v>-2625403.1223492+3018268.32211868i</v>
      </c>
      <c r="M42" s="4" t="str">
        <f t="shared" si="6"/>
        <v>-0.267392882657118-0.273781047967138i</v>
      </c>
      <c r="N42" s="4">
        <f t="shared" si="7"/>
        <v>131.87988818671164</v>
      </c>
      <c r="O42" s="4">
        <f t="shared" si="8"/>
        <v>-1.2331030445004627</v>
      </c>
      <c r="P42" s="4">
        <f t="shared" si="9"/>
        <v>132.04192862531636</v>
      </c>
      <c r="Q42" s="4">
        <f t="shared" si="10"/>
        <v>-8.3429574962391335</v>
      </c>
      <c r="R42" s="4">
        <f t="shared" si="11"/>
        <v>130.50317481823262</v>
      </c>
      <c r="S42" s="4">
        <f t="shared" si="12"/>
        <v>-27.233094267954463</v>
      </c>
      <c r="T42" s="4">
        <f t="shared" si="13"/>
        <v>131.01797079960758</v>
      </c>
      <c r="U42" s="4">
        <f t="shared" si="14"/>
        <v>-134.32369633582542</v>
      </c>
    </row>
    <row r="43" spans="1:21">
      <c r="A43" s="4">
        <v>16000.960204000001</v>
      </c>
      <c r="B43" s="4">
        <v>3376200.4056053902</v>
      </c>
      <c r="C43" s="5">
        <v>0.26093863351784502</v>
      </c>
      <c r="D43" s="4">
        <v>3430246.2300305199</v>
      </c>
      <c r="E43" s="4">
        <v>0.68392626487256203</v>
      </c>
      <c r="F43" s="4">
        <v>1943537.8099889399</v>
      </c>
      <c r="G43" s="5">
        <v>1.0969876113438199</v>
      </c>
      <c r="H43" s="4">
        <v>2014341.63909819</v>
      </c>
      <c r="I43" s="4">
        <v>-0.20808032680660199</v>
      </c>
      <c r="J43" s="4" t="str">
        <f t="shared" si="3"/>
        <v>3376200.40560539+1943537.80998894i</v>
      </c>
      <c r="K43" s="4" t="str">
        <f t="shared" si="4"/>
        <v>0.260938633517845+1.09698761134382i</v>
      </c>
      <c r="L43" s="4" t="str">
        <f t="shared" si="5"/>
        <v>3430246.23003052+2014341.63909819i</v>
      </c>
      <c r="M43" s="4" t="str">
        <f t="shared" si="6"/>
        <v>0.683926264872562-0.208080326806602i</v>
      </c>
      <c r="N43" s="4">
        <f t="shared" si="7"/>
        <v>131.81159275225247</v>
      </c>
      <c r="O43" s="4">
        <f t="shared" si="8"/>
        <v>1.0430638737509028</v>
      </c>
      <c r="P43" s="4">
        <f t="shared" si="9"/>
        <v>131.99320704935616</v>
      </c>
      <c r="Q43" s="4">
        <f t="shared" si="10"/>
        <v>-2.9153443341403134</v>
      </c>
      <c r="R43" s="4">
        <f t="shared" si="11"/>
        <v>29.927240017871803</v>
      </c>
      <c r="S43" s="4">
        <f t="shared" si="12"/>
        <v>76.619805173273178</v>
      </c>
      <c r="T43" s="4">
        <f t="shared" si="13"/>
        <v>30.422710944331982</v>
      </c>
      <c r="U43" s="4">
        <f t="shared" si="14"/>
        <v>-16.922058012977853</v>
      </c>
    </row>
    <row r="44" spans="1:21">
      <c r="A44" s="4">
        <v>16.001450999999999</v>
      </c>
      <c r="B44" s="4">
        <v>-4010273.9698335598</v>
      </c>
      <c r="C44" s="5">
        <v>0.55317605170176298</v>
      </c>
      <c r="D44" s="4">
        <v>-4046873.2209683098</v>
      </c>
      <c r="E44" s="4">
        <v>0.48305594697271298</v>
      </c>
      <c r="F44" s="4">
        <v>-116924.392292804</v>
      </c>
      <c r="G44" s="5">
        <v>-0.75391106787789297</v>
      </c>
      <c r="H44" s="4">
        <v>-118813.239690546</v>
      </c>
      <c r="I44" s="4">
        <v>-0.67894704215398205</v>
      </c>
      <c r="J44" s="4" t="str">
        <f t="shared" si="3"/>
        <v>-4010273.96983356-116924.392292804i</v>
      </c>
      <c r="K44" s="4" t="str">
        <f t="shared" si="4"/>
        <v>0.553176051701763-0.753911067877893i</v>
      </c>
      <c r="L44" s="4" t="str">
        <f t="shared" si="5"/>
        <v>-4046873.22096831-118813.239690546i</v>
      </c>
      <c r="M44" s="4" t="str">
        <f t="shared" si="6"/>
        <v>0.483055946972713-0.678947042153982i</v>
      </c>
      <c r="N44" s="4">
        <f t="shared" si="7"/>
        <v>132.06717116874128</v>
      </c>
      <c r="O44" s="4">
        <f t="shared" si="8"/>
        <v>-0.58296982186033985</v>
      </c>
      <c r="P44" s="4">
        <f t="shared" si="9"/>
        <v>132.14613384484892</v>
      </c>
      <c r="Q44" s="4">
        <f t="shared" si="10"/>
        <v>-1.5844524484887281</v>
      </c>
      <c r="R44" s="4">
        <f t="shared" si="11"/>
        <v>-178.32994530999696</v>
      </c>
      <c r="S44" s="4">
        <f t="shared" si="12"/>
        <v>-53.730946849179219</v>
      </c>
      <c r="T44" s="4">
        <f t="shared" si="13"/>
        <v>-178.3183208668388</v>
      </c>
      <c r="U44" s="4">
        <f t="shared" si="14"/>
        <v>-54.568982329353531</v>
      </c>
    </row>
    <row r="45" spans="1:21">
      <c r="A45" s="4">
        <v>20.143118000000001</v>
      </c>
      <c r="B45" s="4">
        <v>3117121.818829</v>
      </c>
      <c r="C45" s="5">
        <v>0.38010288507736301</v>
      </c>
      <c r="D45" s="4">
        <v>3145145.7111957199</v>
      </c>
      <c r="E45" s="4">
        <v>0.27353541188000902</v>
      </c>
      <c r="F45" s="4">
        <v>2539856.10911712</v>
      </c>
      <c r="G45" s="5">
        <v>-0.338018829673011</v>
      </c>
      <c r="H45" s="4">
        <v>2563582.7641457599</v>
      </c>
      <c r="I45" s="4">
        <v>-0.55949972913143597</v>
      </c>
      <c r="J45" s="4" t="str">
        <f t="shared" si="3"/>
        <v>3117121.818829+2539856.10911712i</v>
      </c>
      <c r="K45" s="4" t="str">
        <f t="shared" si="4"/>
        <v>0.380102885077363-0.338018829673011i</v>
      </c>
      <c r="L45" s="4" t="str">
        <f t="shared" si="5"/>
        <v>3145145.71119572+2563582.76414576i</v>
      </c>
      <c r="M45" s="4" t="str">
        <f t="shared" si="6"/>
        <v>0.273535411880009-0.559499729131436i</v>
      </c>
      <c r="N45" s="4">
        <f t="shared" si="7"/>
        <v>132.08637966930979</v>
      </c>
      <c r="O45" s="4">
        <f t="shared" si="8"/>
        <v>-5.8714493212839844</v>
      </c>
      <c r="P45" s="4">
        <f t="shared" si="9"/>
        <v>132.16532670325788</v>
      </c>
      <c r="Q45" s="4">
        <f t="shared" si="10"/>
        <v>-4.1132325065708475</v>
      </c>
      <c r="R45" s="4">
        <f t="shared" si="11"/>
        <v>39.173426777795576</v>
      </c>
      <c r="S45" s="4">
        <f t="shared" si="12"/>
        <v>-41.646133833628568</v>
      </c>
      <c r="T45" s="4">
        <f t="shared" si="13"/>
        <v>39.183197547125296</v>
      </c>
      <c r="U45" s="4">
        <f t="shared" si="14"/>
        <v>-63.946321951222941</v>
      </c>
    </row>
    <row r="46" spans="1:21">
      <c r="A46" s="4">
        <v>25.362767999999999</v>
      </c>
      <c r="B46" s="4">
        <v>-3073708.29526868</v>
      </c>
      <c r="C46" s="5">
        <v>1.2842678714292199</v>
      </c>
      <c r="D46" s="4">
        <v>-3101380.9819751098</v>
      </c>
      <c r="E46" s="4">
        <v>0.64192958984026305</v>
      </c>
      <c r="F46" s="4">
        <v>-2600768.50809167</v>
      </c>
      <c r="G46" s="5">
        <v>1.65086275136993E-2</v>
      </c>
      <c r="H46" s="4">
        <v>-2624973.3983683302</v>
      </c>
      <c r="I46" s="4">
        <v>0.51086704881863998</v>
      </c>
      <c r="J46" s="4" t="str">
        <f t="shared" si="3"/>
        <v>-3073708.29526868-2600768.50809167i</v>
      </c>
      <c r="K46" s="4" t="str">
        <f t="shared" si="4"/>
        <v>1.28426787142922+0.0165086275136993i</v>
      </c>
      <c r="L46" s="4" t="str">
        <f t="shared" si="5"/>
        <v>-3101380.98197511-2624973.39836833i</v>
      </c>
      <c r="M46" s="4" t="str">
        <f t="shared" si="6"/>
        <v>0.641929589840263+0.51086704881864i</v>
      </c>
      <c r="N46" s="4">
        <f t="shared" si="7"/>
        <v>132.09828009741668</v>
      </c>
      <c r="O46" s="4">
        <f t="shared" si="8"/>
        <v>2.1738299201243674</v>
      </c>
      <c r="P46" s="4">
        <f t="shared" si="9"/>
        <v>132.17722065427193</v>
      </c>
      <c r="Q46" s="4">
        <f t="shared" si="10"/>
        <v>-1.719470319230729</v>
      </c>
      <c r="R46" s="4">
        <f t="shared" si="11"/>
        <v>-139.7643107250689</v>
      </c>
      <c r="S46" s="4">
        <f t="shared" si="12"/>
        <v>0.73646831012056879</v>
      </c>
      <c r="T46" s="4">
        <f t="shared" si="13"/>
        <v>-139.75580543235628</v>
      </c>
      <c r="U46" s="4">
        <f t="shared" si="14"/>
        <v>38.513838825368069</v>
      </c>
    </row>
    <row r="47" spans="1:21">
      <c r="A47" s="4">
        <v>31.929302</v>
      </c>
      <c r="B47" s="4">
        <v>4018309.2579680299</v>
      </c>
      <c r="C47" s="5">
        <v>-0.36061229310438597</v>
      </c>
      <c r="D47" s="4">
        <v>4055032.8595103002</v>
      </c>
      <c r="E47" s="4">
        <v>-0.65317062728370501</v>
      </c>
      <c r="F47" s="4">
        <v>-306581.05680381798</v>
      </c>
      <c r="G47" s="5">
        <v>-0.69594216630405203</v>
      </c>
      <c r="H47" s="4">
        <v>-308832.46844364598</v>
      </c>
      <c r="I47" s="4">
        <v>-2.05063641904384</v>
      </c>
      <c r="J47" s="4" t="str">
        <f t="shared" si="3"/>
        <v>4018309.25796803-306581.056803818i</v>
      </c>
      <c r="K47" s="4" t="str">
        <f t="shared" si="4"/>
        <v>-0.360612293104386-0.695942166304052i</v>
      </c>
      <c r="L47" s="4" t="str">
        <f t="shared" si="5"/>
        <v>4055032.8595103-308832.468443646i</v>
      </c>
      <c r="M47" s="4" t="str">
        <f t="shared" si="6"/>
        <v>-0.653170627283705-2.05063641904384i</v>
      </c>
      <c r="N47" s="4">
        <f t="shared" si="7"/>
        <v>132.10607451275305</v>
      </c>
      <c r="O47" s="4">
        <f t="shared" si="8"/>
        <v>-2.1156524560017504</v>
      </c>
      <c r="P47" s="4">
        <f t="shared" si="9"/>
        <v>132.18500555058665</v>
      </c>
      <c r="Q47" s="4">
        <f t="shared" si="10"/>
        <v>6.6574432176091118</v>
      </c>
      <c r="R47" s="4">
        <f t="shared" si="11"/>
        <v>-4.3629880266558061</v>
      </c>
      <c r="S47" s="4">
        <f t="shared" si="12"/>
        <v>-117.39157229732963</v>
      </c>
      <c r="T47" s="4">
        <f t="shared" si="13"/>
        <v>-4.3552553007912591</v>
      </c>
      <c r="U47" s="4">
        <f t="shared" si="14"/>
        <v>-107.66776615182336</v>
      </c>
    </row>
    <row r="48" spans="1:21">
      <c r="A48" s="4">
        <v>40.195312000000001</v>
      </c>
      <c r="B48" s="4">
        <v>1157345.1940576299</v>
      </c>
      <c r="C48" s="5">
        <v>4.4535453950262698E-2</v>
      </c>
      <c r="D48" s="4">
        <v>1167413.5939035299</v>
      </c>
      <c r="E48" s="4">
        <v>0.52890885231031803</v>
      </c>
      <c r="F48" s="4">
        <v>3862631.4212235701</v>
      </c>
      <c r="G48" s="5">
        <v>-0.654133442082101</v>
      </c>
      <c r="H48" s="4">
        <v>3898053.2793824701</v>
      </c>
      <c r="I48" s="4">
        <v>0.75651219277982695</v>
      </c>
      <c r="J48" s="4" t="str">
        <f t="shared" si="3"/>
        <v>1157345.19405763+3862631.42122357i</v>
      </c>
      <c r="K48" s="4" t="str">
        <f t="shared" si="4"/>
        <v>0.0445354539502627-0.654133442082101i</v>
      </c>
      <c r="L48" s="4" t="str">
        <f t="shared" si="5"/>
        <v>1167413.59390353+3898053.27938247i</v>
      </c>
      <c r="M48" s="4" t="str">
        <f t="shared" si="6"/>
        <v>0.528908852310318+0.756512192779827i</v>
      </c>
      <c r="N48" s="4">
        <f t="shared" si="7"/>
        <v>132.11103697849114</v>
      </c>
      <c r="O48" s="4">
        <f t="shared" si="8"/>
        <v>-3.6665885508556757</v>
      </c>
      <c r="P48" s="4">
        <f t="shared" si="9"/>
        <v>132.18999324164358</v>
      </c>
      <c r="Q48" s="4">
        <f t="shared" si="10"/>
        <v>-0.69532232120037851</v>
      </c>
      <c r="R48" s="4">
        <f t="shared" si="11"/>
        <v>73.320411741389094</v>
      </c>
      <c r="S48" s="4">
        <f t="shared" si="12"/>
        <v>-86.10513439239655</v>
      </c>
      <c r="T48" s="4">
        <f t="shared" si="13"/>
        <v>73.327761649262058</v>
      </c>
      <c r="U48" s="4">
        <f t="shared" si="14"/>
        <v>55.041016519545934</v>
      </c>
    </row>
    <row r="49" spans="1:21">
      <c r="A49" s="4">
        <v>50.597405000000002</v>
      </c>
      <c r="B49" s="4">
        <v>812863.63726208999</v>
      </c>
      <c r="C49" s="5">
        <v>0.45741083379513903</v>
      </c>
      <c r="D49" s="4">
        <v>819770.64776958094</v>
      </c>
      <c r="E49" s="4">
        <v>0.149672457062831</v>
      </c>
      <c r="F49" s="4">
        <v>3950961.4470753302</v>
      </c>
      <c r="G49" s="5">
        <v>8.9360743350663707</v>
      </c>
      <c r="H49" s="4">
        <v>3987131.50150477</v>
      </c>
      <c r="I49" s="4">
        <v>7.5748040934465504</v>
      </c>
      <c r="J49" s="4" t="str">
        <f t="shared" si="3"/>
        <v>812863.63726209+3950961.44707533i</v>
      </c>
      <c r="K49" s="4" t="str">
        <f t="shared" si="4"/>
        <v>0.457410833795139+8.93607433506637i</v>
      </c>
      <c r="L49" s="4" t="str">
        <f t="shared" si="5"/>
        <v>819770.647769581+3987131.50150477i</v>
      </c>
      <c r="M49" s="4" t="str">
        <f t="shared" si="6"/>
        <v>0.149672457062831+7.57480409344655i</v>
      </c>
      <c r="N49" s="4">
        <f t="shared" si="7"/>
        <v>132.11410071844779</v>
      </c>
      <c r="O49" s="4">
        <f t="shared" si="8"/>
        <v>19.034299563753585</v>
      </c>
      <c r="P49" s="4">
        <f t="shared" si="9"/>
        <v>132.19302628579638</v>
      </c>
      <c r="Q49" s="4">
        <f t="shared" si="10"/>
        <v>17.589123380300201</v>
      </c>
      <c r="R49" s="4">
        <f t="shared" si="11"/>
        <v>78.374290546795777</v>
      </c>
      <c r="S49" s="4">
        <f t="shared" si="12"/>
        <v>87.069758353005724</v>
      </c>
      <c r="T49" s="4">
        <f t="shared" si="13"/>
        <v>78.381660387390468</v>
      </c>
      <c r="U49" s="4">
        <f t="shared" si="14"/>
        <v>88.868025601302278</v>
      </c>
    </row>
    <row r="50" spans="1:21">
      <c r="A50" s="4">
        <v>63.69847</v>
      </c>
      <c r="B50" s="4">
        <v>3991286.2309057298</v>
      </c>
      <c r="C50" s="5">
        <v>-0.15866322824071</v>
      </c>
      <c r="D50" s="4">
        <v>4027810.2827338302</v>
      </c>
      <c r="E50" s="4">
        <v>-0.20019166935035701</v>
      </c>
      <c r="F50" s="4">
        <v>-589934.53859598399</v>
      </c>
      <c r="G50" s="5">
        <v>0.104616768812999</v>
      </c>
      <c r="H50" s="4">
        <v>-594777.29094116599</v>
      </c>
      <c r="I50" s="4">
        <v>0.43383780150748902</v>
      </c>
      <c r="J50" s="4" t="str">
        <f t="shared" si="3"/>
        <v>3991286.23090573-589934.538595984i</v>
      </c>
      <c r="K50" s="4" t="str">
        <f t="shared" si="4"/>
        <v>-0.15866322824071+0.104616768812999i</v>
      </c>
      <c r="L50" s="4" t="str">
        <f t="shared" si="5"/>
        <v>4027810.28273383-594777.290941166i</v>
      </c>
      <c r="M50" s="4" t="str">
        <f t="shared" si="6"/>
        <v>-0.200191669350357+0.433837801507489i</v>
      </c>
      <c r="N50" s="4">
        <f t="shared" si="7"/>
        <v>132.11611410123524</v>
      </c>
      <c r="O50" s="4">
        <f t="shared" si="8"/>
        <v>-14.422680299235338</v>
      </c>
      <c r="P50" s="4">
        <f t="shared" si="9"/>
        <v>132.19506348778268</v>
      </c>
      <c r="Q50" s="4">
        <f t="shared" si="10"/>
        <v>-6.4150941655220342</v>
      </c>
      <c r="R50" s="4">
        <f t="shared" si="11"/>
        <v>-8.4077641738780429</v>
      </c>
      <c r="S50" s="4">
        <f t="shared" si="12"/>
        <v>146.60059252660707</v>
      </c>
      <c r="T50" s="4">
        <f t="shared" si="13"/>
        <v>-8.4000280551883542</v>
      </c>
      <c r="U50" s="4">
        <f t="shared" si="14"/>
        <v>114.77065888267269</v>
      </c>
    </row>
    <row r="51" spans="1:21">
      <c r="A51" s="4">
        <v>80.201261000000002</v>
      </c>
      <c r="B51" s="4">
        <v>-3459187.6853535599</v>
      </c>
      <c r="C51" s="5">
        <v>-0.56474487570757204</v>
      </c>
      <c r="D51" s="4">
        <v>-3491084.3672610698</v>
      </c>
      <c r="E51" s="4">
        <v>-0.54687344481403899</v>
      </c>
      <c r="F51" s="4">
        <v>2077793.2119725</v>
      </c>
      <c r="G51" s="5">
        <v>0.16833094753199901</v>
      </c>
      <c r="H51" s="4">
        <v>2096238.8899321801</v>
      </c>
      <c r="I51" s="4">
        <v>9.9830649919553094E-2</v>
      </c>
      <c r="J51" s="4" t="str">
        <f t="shared" si="3"/>
        <v>-3459187.68535356+2077793.2119725i</v>
      </c>
      <c r="K51" s="4" t="str">
        <f t="shared" si="4"/>
        <v>-0.564744875707572+0.168330947531999i</v>
      </c>
      <c r="L51" s="4" t="str">
        <f t="shared" si="5"/>
        <v>-3491084.36726107+2096238.88993218i</v>
      </c>
      <c r="M51" s="4" t="str">
        <f t="shared" si="6"/>
        <v>-0.546873444814039+0.0998306499195531i</v>
      </c>
      <c r="N51" s="4">
        <f t="shared" si="7"/>
        <v>132.11739865838172</v>
      </c>
      <c r="O51" s="4">
        <f t="shared" si="8"/>
        <v>-4.5933012854739506</v>
      </c>
      <c r="P51" s="4">
        <f t="shared" si="9"/>
        <v>132.19633965469396</v>
      </c>
      <c r="Q51" s="4">
        <f t="shared" si="10"/>
        <v>-5.0998990963158022</v>
      </c>
      <c r="R51" s="4">
        <f t="shared" si="11"/>
        <v>149.00847623987823</v>
      </c>
      <c r="S51" s="4">
        <f t="shared" si="12"/>
        <v>163.40249820772689</v>
      </c>
      <c r="T51" s="4">
        <f t="shared" si="13"/>
        <v>149.0170806037967</v>
      </c>
      <c r="U51" s="4">
        <f t="shared" si="14"/>
        <v>169.6546817045224</v>
      </c>
    </row>
    <row r="52" spans="1:21">
      <c r="A52" s="4">
        <v>100.96802700000001</v>
      </c>
      <c r="B52" s="4">
        <v>-3820953.3337566298</v>
      </c>
      <c r="C52" s="5">
        <v>-1.4119301385744101</v>
      </c>
      <c r="D52" s="4">
        <v>-3856075.8157917801</v>
      </c>
      <c r="E52" s="4">
        <v>-0.92519678797280702</v>
      </c>
      <c r="F52" s="4">
        <v>1298586.07519695</v>
      </c>
      <c r="G52" s="5">
        <v>-0.47420732175147601</v>
      </c>
      <c r="H52" s="4">
        <v>1309779.0826128901</v>
      </c>
      <c r="I52" s="4">
        <v>-0.45056625431290898</v>
      </c>
      <c r="J52" s="4" t="str">
        <f t="shared" si="3"/>
        <v>-3820953.33375663+1298586.07519695i</v>
      </c>
      <c r="K52" s="4" t="str">
        <f t="shared" si="4"/>
        <v>-1.41193013857441-0.474207321751476i</v>
      </c>
      <c r="L52" s="4" t="str">
        <f t="shared" si="5"/>
        <v>-3856075.81579178+1309779.08261289i</v>
      </c>
      <c r="M52" s="4" t="str">
        <f t="shared" si="6"/>
        <v>-0.925196787972807-0.450566254312909i</v>
      </c>
      <c r="N52" s="4">
        <f t="shared" si="7"/>
        <v>132.11814701749219</v>
      </c>
      <c r="O52" s="4">
        <f t="shared" si="8"/>
        <v>3.4604363494227224</v>
      </c>
      <c r="P52" s="4">
        <f t="shared" si="9"/>
        <v>132.19711336942186</v>
      </c>
      <c r="Q52" s="4">
        <f t="shared" si="10"/>
        <v>0.24895568873499563</v>
      </c>
      <c r="R52" s="4">
        <f t="shared" si="11"/>
        <v>161.22919930930954</v>
      </c>
      <c r="S52" s="4">
        <f t="shared" si="12"/>
        <v>-161.43498837748524</v>
      </c>
      <c r="T52" s="4">
        <f t="shared" si="13"/>
        <v>161.2391058868667</v>
      </c>
      <c r="U52" s="4">
        <f t="shared" si="14"/>
        <v>-154.03414719204798</v>
      </c>
    </row>
    <row r="53" spans="1:21">
      <c r="A53" s="4">
        <v>127.10439</v>
      </c>
      <c r="B53" s="4">
        <v>3981382.0552678802</v>
      </c>
      <c r="C53" s="5">
        <v>-0.30839964150625998</v>
      </c>
      <c r="D53" s="4">
        <v>4017878.6047436199</v>
      </c>
      <c r="E53" s="4">
        <v>-0.75865049154691999</v>
      </c>
      <c r="F53" s="4">
        <v>-661086.482003354</v>
      </c>
      <c r="G53" s="5">
        <v>-0.78893239495839995</v>
      </c>
      <c r="H53" s="4">
        <v>-666300.59242278396</v>
      </c>
      <c r="I53" s="4">
        <v>-1.61487130038909</v>
      </c>
      <c r="J53" s="4" t="str">
        <f t="shared" si="3"/>
        <v>3981382.05526788-661086.482003354i</v>
      </c>
      <c r="K53" s="4" t="str">
        <f t="shared" si="4"/>
        <v>-0.30839964150626-0.7889323949584i</v>
      </c>
      <c r="L53" s="4" t="str">
        <f t="shared" si="5"/>
        <v>4017878.60474362-666300.592422784i</v>
      </c>
      <c r="M53" s="4" t="str">
        <f t="shared" si="6"/>
        <v>-0.75865049154692-1.61487130038909i</v>
      </c>
      <c r="N53" s="4">
        <f t="shared" si="7"/>
        <v>132.11879449939994</v>
      </c>
      <c r="O53" s="4">
        <f t="shared" si="8"/>
        <v>-1.4416316680484531</v>
      </c>
      <c r="P53" s="4">
        <f t="shared" si="9"/>
        <v>132.19775829348899</v>
      </c>
      <c r="Q53" s="4">
        <f t="shared" si="10"/>
        <v>5.0288573924850866</v>
      </c>
      <c r="R53" s="4">
        <f t="shared" si="11"/>
        <v>-9.4276330850655956</v>
      </c>
      <c r="S53" s="4">
        <f t="shared" si="12"/>
        <v>-111.35090441117877</v>
      </c>
      <c r="T53" s="4">
        <f t="shared" si="13"/>
        <v>-9.4158930782921306</v>
      </c>
      <c r="U53" s="4">
        <f t="shared" si="14"/>
        <v>-115.16367161327247</v>
      </c>
    </row>
    <row r="54" spans="1:21">
      <c r="A54" s="4">
        <v>160.00702200000001</v>
      </c>
      <c r="B54" s="4">
        <v>2564128.4323026398</v>
      </c>
      <c r="C54" s="5">
        <v>0.73245635058449399</v>
      </c>
      <c r="D54" s="4">
        <v>2588330.0764495302</v>
      </c>
      <c r="E54" s="4">
        <v>0.45273352677144901</v>
      </c>
      <c r="F54" s="4">
        <v>-3116792.8265411798</v>
      </c>
      <c r="G54" s="5">
        <v>-0.30887983030348298</v>
      </c>
      <c r="H54" s="4">
        <v>-3144622.55139403</v>
      </c>
      <c r="I54" s="4">
        <v>-0.187937401837735</v>
      </c>
      <c r="J54" s="4" t="str">
        <f t="shared" si="3"/>
        <v>2564128.43230264-3116792.82654118i</v>
      </c>
      <c r="K54" s="4" t="str">
        <f t="shared" si="4"/>
        <v>0.732456350584494-0.308879830303483i</v>
      </c>
      <c r="L54" s="4" t="str">
        <f t="shared" si="5"/>
        <v>2588330.07644953-3144622.55139403i</v>
      </c>
      <c r="M54" s="4" t="str">
        <f t="shared" si="6"/>
        <v>0.452733526771449-0.187937401837735i</v>
      </c>
      <c r="N54" s="4">
        <f t="shared" si="7"/>
        <v>132.11898479636798</v>
      </c>
      <c r="O54" s="4">
        <f t="shared" si="8"/>
        <v>-1.9935229406457315</v>
      </c>
      <c r="P54" s="4">
        <f t="shared" si="9"/>
        <v>132.1979673841609</v>
      </c>
      <c r="Q54" s="4">
        <f t="shared" si="10"/>
        <v>-6.192677126246279</v>
      </c>
      <c r="R54" s="4">
        <f t="shared" si="11"/>
        <v>-50.556493964687832</v>
      </c>
      <c r="S54" s="4">
        <f t="shared" si="12"/>
        <v>-22.865351214888648</v>
      </c>
      <c r="T54" s="4">
        <f t="shared" si="13"/>
        <v>-50.542298863962252</v>
      </c>
      <c r="U54" s="4">
        <f t="shared" si="14"/>
        <v>-22.544170493445858</v>
      </c>
    </row>
    <row r="55" spans="1:21">
      <c r="A55" s="4">
        <v>201.45634899999999</v>
      </c>
      <c r="B55" s="4">
        <v>3720006.8375317701</v>
      </c>
      <c r="C55" s="5">
        <v>0.10305714155345</v>
      </c>
      <c r="D55" s="4">
        <v>3754476.9510836299</v>
      </c>
      <c r="E55" s="4">
        <v>0.67650744968852095</v>
      </c>
      <c r="F55" s="4">
        <v>-1565513.87906419</v>
      </c>
      <c r="G55" s="5">
        <v>3.9493560074956503E-2</v>
      </c>
      <c r="H55" s="4">
        <v>-1578674.10355567</v>
      </c>
      <c r="I55" s="4">
        <v>-0.112159296144153</v>
      </c>
      <c r="J55" s="4" t="str">
        <f t="shared" si="3"/>
        <v>3720006.83753177-1565513.87906419i</v>
      </c>
      <c r="K55" s="4" t="str">
        <f t="shared" si="4"/>
        <v>0.10305714155345+0.0394935600749565i</v>
      </c>
      <c r="L55" s="4" t="str">
        <f t="shared" si="5"/>
        <v>3754476.95108363-1578674.10355567i</v>
      </c>
      <c r="M55" s="4" t="str">
        <f t="shared" si="6"/>
        <v>0.676507449688521-0.112159296144153i</v>
      </c>
      <c r="N55" s="4">
        <f t="shared" si="7"/>
        <v>132.1190201057249</v>
      </c>
      <c r="O55" s="4">
        <f t="shared" si="8"/>
        <v>-19.143343236589317</v>
      </c>
      <c r="P55" s="4">
        <f t="shared" si="9"/>
        <v>132.1980211927733</v>
      </c>
      <c r="Q55" s="4">
        <f t="shared" si="10"/>
        <v>-3.2767854980476638</v>
      </c>
      <c r="R55" s="4">
        <f t="shared" si="11"/>
        <v>-22.823124550676162</v>
      </c>
      <c r="S55" s="4">
        <f t="shared" si="12"/>
        <v>20.967832732995877</v>
      </c>
      <c r="T55" s="4">
        <f t="shared" si="13"/>
        <v>-22.805671329943618</v>
      </c>
      <c r="U55" s="4">
        <f t="shared" si="14"/>
        <v>-9.4135363385010553</v>
      </c>
    </row>
    <row r="56" spans="1:21">
      <c r="A56" s="4">
        <v>253.58521099999999</v>
      </c>
      <c r="B56" s="4">
        <v>4035191.7269171802</v>
      </c>
      <c r="C56" s="5">
        <v>0.576119795949529</v>
      </c>
      <c r="D56" s="4">
        <v>4072033.1810860401</v>
      </c>
      <c r="E56" s="4">
        <v>0.40076340123458498</v>
      </c>
      <c r="F56" s="4">
        <v>77697.314952504996</v>
      </c>
      <c r="G56" s="5">
        <v>-0.17411092295512501</v>
      </c>
      <c r="H56" s="4">
        <v>79942.883912067802</v>
      </c>
      <c r="I56" s="4">
        <v>0.62285752219449597</v>
      </c>
      <c r="J56" s="4" t="str">
        <f t="shared" si="3"/>
        <v>4035191.72691718+77697.314952505i</v>
      </c>
      <c r="K56" s="4" t="str">
        <f t="shared" si="4"/>
        <v>0.576119795949529-0.174110922955125i</v>
      </c>
      <c r="L56" s="4" t="str">
        <f t="shared" si="5"/>
        <v>4072033.18108604+79942.8839120678i</v>
      </c>
      <c r="M56" s="4" t="str">
        <f t="shared" si="6"/>
        <v>0.400763401234585+0.622857522194496i</v>
      </c>
      <c r="N56" s="4">
        <f t="shared" si="7"/>
        <v>132.11889334747903</v>
      </c>
      <c r="O56" s="4">
        <f t="shared" si="8"/>
        <v>-4.4101722336028111</v>
      </c>
      <c r="P56" s="4">
        <f t="shared" si="9"/>
        <v>132.1978997100334</v>
      </c>
      <c r="Q56" s="4">
        <f t="shared" si="10"/>
        <v>-2.6077364938482268</v>
      </c>
      <c r="R56" s="4">
        <f t="shared" si="11"/>
        <v>1.1030896391714178</v>
      </c>
      <c r="S56" s="4">
        <f t="shared" si="12"/>
        <v>-16.815502297819535</v>
      </c>
      <c r="T56" s="4">
        <f t="shared" si="13"/>
        <v>1.1246965142362302</v>
      </c>
      <c r="U56" s="4">
        <f t="shared" si="14"/>
        <v>57.241673366893636</v>
      </c>
    </row>
    <row r="57" spans="1:21">
      <c r="A57" s="4">
        <v>319.290075</v>
      </c>
      <c r="B57" s="4">
        <v>876243.20837927295</v>
      </c>
      <c r="C57" s="5">
        <v>4.3977677717320897E-2</v>
      </c>
      <c r="D57" s="4">
        <v>886118.54730416497</v>
      </c>
      <c r="E57" s="4">
        <v>0.294094122869832</v>
      </c>
      <c r="F57" s="4">
        <v>-3939513.9085021499</v>
      </c>
      <c r="G57" s="5">
        <v>-1.0685289996460301</v>
      </c>
      <c r="H57" s="4">
        <v>-3975106.0934302402</v>
      </c>
      <c r="I57" s="4">
        <v>-0.64670600301845604</v>
      </c>
      <c r="J57" s="4" t="str">
        <f t="shared" si="3"/>
        <v>876243.208379273-3939513.90850215i</v>
      </c>
      <c r="K57" s="4" t="str">
        <f t="shared" si="4"/>
        <v>0.0439776777173209-1.06852899964603i</v>
      </c>
      <c r="L57" s="4" t="str">
        <f t="shared" si="5"/>
        <v>886118.547304165-3975106.09343024i</v>
      </c>
      <c r="M57" s="4" t="str">
        <f t="shared" si="6"/>
        <v>0.294094122869832-0.646706003018456i</v>
      </c>
      <c r="N57" s="4">
        <f t="shared" si="7"/>
        <v>132.11856348425002</v>
      </c>
      <c r="O57" s="4">
        <f t="shared" si="8"/>
        <v>0.58307662787768577</v>
      </c>
      <c r="P57" s="4">
        <f t="shared" si="9"/>
        <v>132.19759322953638</v>
      </c>
      <c r="Q57" s="4">
        <f t="shared" si="10"/>
        <v>-2.9694947919445407</v>
      </c>
      <c r="R57" s="4">
        <f t="shared" si="11"/>
        <v>-77.460165167969748</v>
      </c>
      <c r="S57" s="4">
        <f t="shared" si="12"/>
        <v>-87.643195429608895</v>
      </c>
      <c r="T57" s="4">
        <f t="shared" si="13"/>
        <v>-77.433265792736279</v>
      </c>
      <c r="U57" s="4">
        <f t="shared" si="14"/>
        <v>-65.545997800171392</v>
      </c>
    </row>
    <row r="58" spans="1:21">
      <c r="A58" s="4">
        <v>401.94414</v>
      </c>
      <c r="B58" s="4">
        <v>3925152.5860399902</v>
      </c>
      <c r="C58" s="5">
        <v>0.58723669166931303</v>
      </c>
      <c r="D58" s="4">
        <v>3961607.9180856999</v>
      </c>
      <c r="E58" s="4">
        <v>0.90346630893077096</v>
      </c>
      <c r="F58" s="4">
        <v>-937531.88103295001</v>
      </c>
      <c r="G58" s="5">
        <v>0.30028399803211198</v>
      </c>
      <c r="H58" s="4">
        <v>-943780.76603187702</v>
      </c>
      <c r="I58" s="4">
        <v>0.51842239167275905</v>
      </c>
      <c r="J58" s="4" t="str">
        <f t="shared" si="3"/>
        <v>3925152.58603999-937531.88103295i</v>
      </c>
      <c r="K58" s="4" t="str">
        <f t="shared" si="4"/>
        <v>0.587236691669313+0.300283998032112i</v>
      </c>
      <c r="L58" s="4" t="str">
        <f t="shared" si="5"/>
        <v>3961607.9180857-943780.766031877i</v>
      </c>
      <c r="M58" s="4" t="str">
        <f t="shared" si="6"/>
        <v>0.903466308930771+0.518422391672759i</v>
      </c>
      <c r="N58" s="4">
        <f t="shared" si="7"/>
        <v>132.11808799782747</v>
      </c>
      <c r="O58" s="4">
        <f t="shared" si="8"/>
        <v>-3.6149336011578264</v>
      </c>
      <c r="P58" s="4">
        <f t="shared" si="9"/>
        <v>132.19717032110944</v>
      </c>
      <c r="Q58" s="4">
        <f t="shared" si="10"/>
        <v>0.35435000745345896</v>
      </c>
      <c r="R58" s="4">
        <f t="shared" si="11"/>
        <v>-13.433542316662752</v>
      </c>
      <c r="S58" s="4">
        <f t="shared" si="12"/>
        <v>27.082971400703379</v>
      </c>
      <c r="T58" s="4">
        <f t="shared" si="13"/>
        <v>-13.399899181784482</v>
      </c>
      <c r="U58" s="4">
        <f t="shared" si="14"/>
        <v>29.847844315863259</v>
      </c>
    </row>
    <row r="59" spans="1:21">
      <c r="A59" s="4">
        <v>506.01529900000003</v>
      </c>
      <c r="B59" s="4">
        <v>3046637.7067224002</v>
      </c>
      <c r="C59" s="5">
        <v>-0.597797166830347</v>
      </c>
      <c r="D59" s="4">
        <v>3072582.5628187498</v>
      </c>
      <c r="E59" s="4">
        <v>0.19667325294348501</v>
      </c>
      <c r="F59" s="4">
        <v>2646001.9384729299</v>
      </c>
      <c r="G59" s="5">
        <v>-0.51451157583719498</v>
      </c>
      <c r="H59" s="4">
        <v>2672499.5814820798</v>
      </c>
      <c r="I59" s="4">
        <v>-0.350617129778443</v>
      </c>
      <c r="J59" s="4" t="str">
        <f t="shared" si="3"/>
        <v>3046637.7067224+2646001.93847293i</v>
      </c>
      <c r="K59" s="4" t="str">
        <f t="shared" si="4"/>
        <v>-0.597797166830347-0.514511575837195i</v>
      </c>
      <c r="L59" s="4" t="str">
        <f t="shared" si="5"/>
        <v>3072582.56281875+2672499.58148208i</v>
      </c>
      <c r="M59" s="4" t="str">
        <f t="shared" si="6"/>
        <v>0.196673252943485-0.350617129778443i</v>
      </c>
      <c r="N59" s="4">
        <f t="shared" si="7"/>
        <v>132.11743159738663</v>
      </c>
      <c r="O59" s="4">
        <f t="shared" si="8"/>
        <v>-2.0615123780708897</v>
      </c>
      <c r="P59" s="4">
        <f t="shared" si="9"/>
        <v>132.1966356214644</v>
      </c>
      <c r="Q59" s="4">
        <f t="shared" si="10"/>
        <v>-7.9152440628040051</v>
      </c>
      <c r="R59" s="4">
        <f t="shared" si="11"/>
        <v>40.974283688504762</v>
      </c>
      <c r="S59" s="4">
        <f t="shared" si="12"/>
        <v>-139.28210684837336</v>
      </c>
      <c r="T59" s="4">
        <f t="shared" si="13"/>
        <v>41.016398527795822</v>
      </c>
      <c r="U59" s="4">
        <f t="shared" si="14"/>
        <v>-60.710428404354886</v>
      </c>
    </row>
    <row r="60" spans="1:21">
      <c r="A60" s="4">
        <v>636.97722999999996</v>
      </c>
      <c r="B60" s="4">
        <v>-749285.28901711002</v>
      </c>
      <c r="C60" s="5">
        <v>0.13688772134204399</v>
      </c>
      <c r="D60" s="4">
        <v>-752473.919851201</v>
      </c>
      <c r="E60" s="4">
        <v>-1.2099935883931201</v>
      </c>
      <c r="F60" s="4">
        <v>-3964752.4056875701</v>
      </c>
      <c r="G60" s="5">
        <v>0.54942306325157997</v>
      </c>
      <c r="H60" s="4">
        <v>-4001829.5004780898</v>
      </c>
      <c r="I60" s="4">
        <v>0.94547475302957595</v>
      </c>
      <c r="J60" s="4" t="str">
        <f t="shared" si="3"/>
        <v>-749285.28901711-3964752.40568757i</v>
      </c>
      <c r="K60" s="4" t="str">
        <f t="shared" si="4"/>
        <v>0.136887721342044+0.54942306325158i</v>
      </c>
      <c r="L60" s="4" t="str">
        <f t="shared" si="5"/>
        <v>-752473.919851201-4001829.50047809i</v>
      </c>
      <c r="M60" s="4" t="str">
        <f t="shared" si="6"/>
        <v>-1.20999358839312+0.945474753029576i</v>
      </c>
      <c r="N60" s="4">
        <f t="shared" si="7"/>
        <v>132.11672809200331</v>
      </c>
      <c r="O60" s="4">
        <f t="shared" si="8"/>
        <v>-4.9403113029448162</v>
      </c>
      <c r="P60" s="4">
        <f t="shared" si="9"/>
        <v>132.19606956786589</v>
      </c>
      <c r="Q60" s="4">
        <f t="shared" si="10"/>
        <v>3.725450886426751</v>
      </c>
      <c r="R60" s="4">
        <f t="shared" si="11"/>
        <v>-100.70191916671556</v>
      </c>
      <c r="S60" s="4">
        <f t="shared" si="12"/>
        <v>76.009703927065715</v>
      </c>
      <c r="T60" s="4">
        <f t="shared" si="13"/>
        <v>-100.64912505975609</v>
      </c>
      <c r="U60" s="4">
        <f t="shared" si="14"/>
        <v>141.99634957161408</v>
      </c>
    </row>
    <row r="61" spans="1:21">
      <c r="A61" s="4">
        <v>801.91144499999996</v>
      </c>
      <c r="B61" s="4">
        <v>3076360.2357491502</v>
      </c>
      <c r="C61" s="5">
        <v>0.21840105337455101</v>
      </c>
      <c r="D61" s="4">
        <v>3101628.43419882</v>
      </c>
      <c r="E61" s="4">
        <v>0.68255778941692502</v>
      </c>
      <c r="F61" s="4">
        <v>2610452.2734445902</v>
      </c>
      <c r="G61" s="5">
        <v>0.12497555230601801</v>
      </c>
      <c r="H61" s="4">
        <v>2638065.7526476099</v>
      </c>
      <c r="I61" s="4">
        <v>-0.96570378297082604</v>
      </c>
      <c r="J61" s="4" t="str">
        <f t="shared" si="3"/>
        <v>3076360.23574915+2610452.27344459i</v>
      </c>
      <c r="K61" s="4" t="str">
        <f t="shared" si="4"/>
        <v>0.218401053374551+0.124975552306018i</v>
      </c>
      <c r="L61" s="4" t="str">
        <f t="shared" si="5"/>
        <v>3101628.43419882+2638065.75264761i</v>
      </c>
      <c r="M61" s="4" t="str">
        <f t="shared" si="6"/>
        <v>0.682557789416925-0.965703782970826i</v>
      </c>
      <c r="N61" s="4">
        <f t="shared" si="7"/>
        <v>132.11613139871326</v>
      </c>
      <c r="O61" s="4">
        <f t="shared" si="8"/>
        <v>-11.984734370860814</v>
      </c>
      <c r="P61" s="4">
        <f t="shared" si="9"/>
        <v>132.1957116344125</v>
      </c>
      <c r="Q61" s="4">
        <f t="shared" si="10"/>
        <v>1.4565282275324285</v>
      </c>
      <c r="R61" s="4">
        <f t="shared" si="11"/>
        <v>40.316344058519192</v>
      </c>
      <c r="S61" s="4">
        <f t="shared" si="12"/>
        <v>29.779468514322389</v>
      </c>
      <c r="T61" s="4">
        <f t="shared" si="13"/>
        <v>40.382565750005917</v>
      </c>
      <c r="U61" s="4">
        <f t="shared" si="14"/>
        <v>-54.747395250634774</v>
      </c>
    </row>
    <row r="62" spans="1:21">
      <c r="A62" s="4">
        <v>1009.546788</v>
      </c>
      <c r="B62" s="4">
        <v>-3926575.2244835198</v>
      </c>
      <c r="C62" s="5">
        <v>1.3698637386527901E-4</v>
      </c>
      <c r="D62" s="4">
        <v>-3964229.25145048</v>
      </c>
      <c r="E62" s="4">
        <v>0.429064733634552</v>
      </c>
      <c r="F62" s="4">
        <v>926748.328472908</v>
      </c>
      <c r="G62" s="5">
        <v>-0.47571516168286598</v>
      </c>
      <c r="H62" s="4">
        <v>929570.676736995</v>
      </c>
      <c r="I62" s="4">
        <v>0.40313898645463198</v>
      </c>
      <c r="J62" s="4" t="str">
        <f t="shared" si="3"/>
        <v>-3926575.22448352+926748.328472908i</v>
      </c>
      <c r="K62" s="4" t="str">
        <f t="shared" si="4"/>
        <v>0.000136986373865279-0.475715161682866i</v>
      </c>
      <c r="L62" s="4" t="str">
        <f t="shared" si="5"/>
        <v>-3964229.25145048+929570.676736995i</v>
      </c>
      <c r="M62" s="4" t="str">
        <f t="shared" si="6"/>
        <v>0.429064733634552+0.403138986454632i</v>
      </c>
      <c r="N62" s="4">
        <f t="shared" si="7"/>
        <v>132.11570506867096</v>
      </c>
      <c r="O62" s="4">
        <f t="shared" si="8"/>
        <v>-6.4530597760718313</v>
      </c>
      <c r="P62" s="4">
        <f t="shared" si="9"/>
        <v>132.19563968801933</v>
      </c>
      <c r="Q62" s="4">
        <f t="shared" si="10"/>
        <v>-4.601494041188154</v>
      </c>
      <c r="R62" s="4">
        <f t="shared" si="11"/>
        <v>166.72010527832168</v>
      </c>
      <c r="S62" s="4">
        <f t="shared" si="12"/>
        <v>-89.983501175727554</v>
      </c>
      <c r="T62" s="4">
        <f t="shared" si="13"/>
        <v>166.8031632649996</v>
      </c>
      <c r="U62" s="4">
        <f t="shared" si="14"/>
        <v>43.215634476428797</v>
      </c>
    </row>
    <row r="63" spans="1:21">
      <c r="A63" s="4">
        <v>1271.06546</v>
      </c>
      <c r="B63" s="4">
        <v>-860574.86710373196</v>
      </c>
      <c r="C63" s="5">
        <v>0.29895445722176001</v>
      </c>
      <c r="D63" s="4">
        <v>-861360.92300145503</v>
      </c>
      <c r="E63" s="4">
        <v>-0.132226539641528</v>
      </c>
      <c r="F63" s="4">
        <v>-3941207.5490032402</v>
      </c>
      <c r="G63" s="5">
        <v>-0.36511469852119199</v>
      </c>
      <c r="H63" s="4">
        <v>-3979485.1211379501</v>
      </c>
      <c r="I63" s="4">
        <v>0.53788424505524202</v>
      </c>
      <c r="J63" s="4" t="str">
        <f t="shared" si="3"/>
        <v>-860574.867103732-3941207.54900324i</v>
      </c>
      <c r="K63" s="4" t="str">
        <f t="shared" si="4"/>
        <v>0.29895445722176-0.365114698521192i</v>
      </c>
      <c r="L63" s="4" t="str">
        <f t="shared" si="5"/>
        <v>-861360.923001455-3979485.12113795i</v>
      </c>
      <c r="M63" s="4" t="str">
        <f t="shared" si="6"/>
        <v>-0.132226539641528+0.537884245055242i</v>
      </c>
      <c r="N63" s="4">
        <f t="shared" si="7"/>
        <v>132.11486467020194</v>
      </c>
      <c r="O63" s="4">
        <f t="shared" si="8"/>
        <v>-6.5231389101110562</v>
      </c>
      <c r="P63" s="4">
        <f t="shared" si="9"/>
        <v>132.19538539617253</v>
      </c>
      <c r="Q63" s="4">
        <f t="shared" si="10"/>
        <v>-5.1313994668974194</v>
      </c>
      <c r="R63" s="4">
        <f t="shared" si="11"/>
        <v>-102.31738300766199</v>
      </c>
      <c r="S63" s="4">
        <f t="shared" si="12"/>
        <v>-50.68952006976091</v>
      </c>
      <c r="T63" s="4">
        <f t="shared" si="13"/>
        <v>-102.21328352177602</v>
      </c>
      <c r="U63" s="4">
        <f t="shared" si="14"/>
        <v>103.81099956265642</v>
      </c>
    </row>
    <row r="64" spans="1:21">
      <c r="A64" s="4">
        <v>1600.019278</v>
      </c>
      <c r="B64" s="4">
        <v>-3428936.1471773302</v>
      </c>
      <c r="C64" s="5">
        <v>0.35764093903763999</v>
      </c>
      <c r="D64" s="4">
        <v>-3456373.2479159301</v>
      </c>
      <c r="E64" s="4">
        <v>7.4925348166217001E-2</v>
      </c>
      <c r="F64" s="4">
        <v>-2122289.1027150298</v>
      </c>
      <c r="G64" s="5">
        <v>-0.32310499708804802</v>
      </c>
      <c r="H64" s="4">
        <v>-2150150.1304593799</v>
      </c>
      <c r="I64" s="4">
        <v>0.34580659944648601</v>
      </c>
      <c r="J64" s="4" t="str">
        <f t="shared" si="3"/>
        <v>-3428936.14717733-2122289.10271503i</v>
      </c>
      <c r="K64" s="4" t="str">
        <f t="shared" si="4"/>
        <v>0.35764093903764-0.323104997088048i</v>
      </c>
      <c r="L64" s="4" t="str">
        <f t="shared" si="5"/>
        <v>-3456373.24791593-2150150.13045938i</v>
      </c>
      <c r="M64" s="4" t="str">
        <f t="shared" si="6"/>
        <v>0.074925348166217+0.345806599446486i</v>
      </c>
      <c r="N64" s="4">
        <f t="shared" si="7"/>
        <v>132.11166322375499</v>
      </c>
      <c r="O64" s="4">
        <f t="shared" si="8"/>
        <v>-6.3394353565615456</v>
      </c>
      <c r="P64" s="4">
        <f t="shared" si="9"/>
        <v>132.19313639296954</v>
      </c>
      <c r="Q64" s="4">
        <f t="shared" si="10"/>
        <v>-9.0240950487888743</v>
      </c>
      <c r="R64" s="4">
        <f t="shared" si="11"/>
        <v>-148.24517891705364</v>
      </c>
      <c r="S64" s="4">
        <f t="shared" si="12"/>
        <v>-42.095731918844521</v>
      </c>
      <c r="T64" s="4">
        <f t="shared" si="13"/>
        <v>-148.11496990316147</v>
      </c>
      <c r="U64" s="4">
        <f t="shared" si="14"/>
        <v>77.774784750824878</v>
      </c>
    </row>
    <row r="65" spans="1:21">
      <c r="A65" s="4">
        <v>2014.3138919999999</v>
      </c>
      <c r="B65" s="4">
        <v>-3056485.3651952101</v>
      </c>
      <c r="C65" s="5">
        <v>-0.57928238273404997</v>
      </c>
      <c r="D65" s="4">
        <v>-3093316.06409876</v>
      </c>
      <c r="E65" s="4">
        <v>0.98641726489746995</v>
      </c>
      <c r="F65" s="4">
        <v>2626104.2924648598</v>
      </c>
      <c r="G65" s="5">
        <v>0.190398749732965</v>
      </c>
      <c r="H65" s="4">
        <v>2642554.7024930702</v>
      </c>
      <c r="I65" s="4">
        <v>-0.13435821344065799</v>
      </c>
      <c r="J65" s="4" t="str">
        <f t="shared" si="3"/>
        <v>-3056485.36519521+2626104.29246486i</v>
      </c>
      <c r="K65" s="4" t="str">
        <f t="shared" si="4"/>
        <v>-0.57928238273405+0.190398749732965i</v>
      </c>
      <c r="L65" s="4" t="str">
        <f t="shared" si="5"/>
        <v>-3093316.06409876+2642554.70249307i</v>
      </c>
      <c r="M65" s="4" t="str">
        <f t="shared" si="6"/>
        <v>0.98641726489747-0.134358213440658i</v>
      </c>
      <c r="N65" s="4">
        <f t="shared" si="7"/>
        <v>132.10546619519118</v>
      </c>
      <c r="O65" s="4">
        <f t="shared" si="8"/>
        <v>-4.2966753046830073</v>
      </c>
      <c r="P65" s="4">
        <f t="shared" si="9"/>
        <v>132.18842596371357</v>
      </c>
      <c r="Q65" s="4">
        <f t="shared" si="10"/>
        <v>-3.895165952536811E-2</v>
      </c>
      <c r="R65" s="4">
        <f t="shared" si="11"/>
        <v>139.33112957222511</v>
      </c>
      <c r="S65" s="4">
        <f t="shared" si="12"/>
        <v>161.80532064108104</v>
      </c>
      <c r="T65" s="4">
        <f t="shared" si="13"/>
        <v>139.49343329268319</v>
      </c>
      <c r="U65" s="4">
        <f t="shared" si="14"/>
        <v>-7.7564278932067721</v>
      </c>
    </row>
    <row r="66" spans="1:21">
      <c r="A66" s="4">
        <v>2536.1076779999999</v>
      </c>
      <c r="B66" s="4">
        <v>4003898.50967289</v>
      </c>
      <c r="C66" s="5">
        <v>-0.30360481164278202</v>
      </c>
      <c r="D66" s="4">
        <v>4041824.20414434</v>
      </c>
      <c r="E66" s="4">
        <v>-0.62321681363112302</v>
      </c>
      <c r="F66" s="4">
        <v>431686.97999074502</v>
      </c>
      <c r="G66" s="5">
        <v>0.89626643563229602</v>
      </c>
      <c r="H66" s="4">
        <v>450149.510910802</v>
      </c>
      <c r="I66" s="4">
        <v>1.14190709244953</v>
      </c>
      <c r="J66" s="4" t="str">
        <f t="shared" si="3"/>
        <v>4003898.50967289+431686.979990745i</v>
      </c>
      <c r="K66" s="4" t="str">
        <f t="shared" si="4"/>
        <v>-0.303604811642782+0.896266435632296i</v>
      </c>
      <c r="L66" s="4" t="str">
        <f t="shared" si="5"/>
        <v>4041824.20414434+450149.510910802i</v>
      </c>
      <c r="M66" s="4" t="str">
        <f t="shared" si="6"/>
        <v>-0.623216813631123+1.14190709244953i</v>
      </c>
      <c r="N66" s="4">
        <f t="shared" si="7"/>
        <v>132.09985431000786</v>
      </c>
      <c r="O66" s="4">
        <f t="shared" si="8"/>
        <v>-0.47949247714577259</v>
      </c>
      <c r="P66" s="4">
        <f t="shared" si="9"/>
        <v>132.18508655833824</v>
      </c>
      <c r="Q66" s="4">
        <f t="shared" si="10"/>
        <v>2.2849044353885821</v>
      </c>
      <c r="R66" s="4">
        <f t="shared" si="11"/>
        <v>6.1536689666484641</v>
      </c>
      <c r="S66" s="4">
        <f t="shared" si="12"/>
        <v>108.71349823003455</v>
      </c>
      <c r="T66" s="4">
        <f t="shared" si="13"/>
        <v>6.3550053905539219</v>
      </c>
      <c r="U66" s="4">
        <f t="shared" si="14"/>
        <v>118.62431725734262</v>
      </c>
    </row>
    <row r="67" spans="1:21">
      <c r="A67" s="4">
        <v>3192.5215979999998</v>
      </c>
      <c r="B67" s="4">
        <v>3451862.7511217701</v>
      </c>
      <c r="C67" s="5">
        <v>0.54442856958784203</v>
      </c>
      <c r="D67" s="4">
        <v>3496273.40247967</v>
      </c>
      <c r="E67" s="4">
        <v>-0.41758006920225699</v>
      </c>
      <c r="F67" s="4">
        <v>-2063633.71640013</v>
      </c>
      <c r="G67" s="5">
        <v>-0.109136781636183</v>
      </c>
      <c r="H67" s="4">
        <v>-2069722.22786838</v>
      </c>
      <c r="I67" s="4">
        <v>-0.39698417996360402</v>
      </c>
      <c r="J67" s="4" t="str">
        <f t="shared" si="3"/>
        <v>3451862.75112177-2063633.71640013i</v>
      </c>
      <c r="K67" s="4" t="str">
        <f t="shared" si="4"/>
        <v>0.544428569587842-0.109136781636183i</v>
      </c>
      <c r="L67" s="4" t="str">
        <f t="shared" si="5"/>
        <v>3496273.40247967-2069722.22786838i</v>
      </c>
      <c r="M67" s="4" t="str">
        <f t="shared" si="6"/>
        <v>-0.417580069202257-0.396984179963604i</v>
      </c>
      <c r="N67" s="4">
        <f t="shared" si="7"/>
        <v>132.08815842940706</v>
      </c>
      <c r="O67" s="4">
        <f t="shared" si="8"/>
        <v>-5.1100773397720207</v>
      </c>
      <c r="P67" s="4">
        <f t="shared" si="9"/>
        <v>132.17685983788243</v>
      </c>
      <c r="Q67" s="4">
        <f t="shared" si="10"/>
        <v>-4.7890174588743841</v>
      </c>
      <c r="R67" s="4">
        <f t="shared" si="11"/>
        <v>-30.872329334969585</v>
      </c>
      <c r="S67" s="4">
        <f t="shared" si="12"/>
        <v>-11.335336393074485</v>
      </c>
      <c r="T67" s="4">
        <f t="shared" si="13"/>
        <v>-30.624663535629701</v>
      </c>
      <c r="U67" s="4">
        <f t="shared" si="14"/>
        <v>-136.4483893109221</v>
      </c>
    </row>
    <row r="68" spans="1:21">
      <c r="A68" s="4">
        <v>4019.4603149999998</v>
      </c>
      <c r="B68" s="4">
        <v>-1633050.0610003599</v>
      </c>
      <c r="C68" s="5">
        <v>0.99320169786104295</v>
      </c>
      <c r="D68" s="4">
        <v>-1631289.9249819899</v>
      </c>
      <c r="E68" s="4">
        <v>-0.64150368483388398</v>
      </c>
      <c r="F68" s="4">
        <v>-3667625.7412958099</v>
      </c>
      <c r="G68" s="5">
        <v>0.64484609820047201</v>
      </c>
      <c r="H68" s="4">
        <v>-3716092.7459998298</v>
      </c>
      <c r="I68" s="4">
        <v>0.75458759635437</v>
      </c>
      <c r="J68" s="4" t="str">
        <f t="shared" si="3"/>
        <v>-1633050.06100036-3667625.74129581i</v>
      </c>
      <c r="K68" s="4" t="str">
        <f t="shared" si="4"/>
        <v>0.993201697861043+0.644846098200472i</v>
      </c>
      <c r="L68" s="4" t="str">
        <f t="shared" si="5"/>
        <v>-1631289.92498199-3716092.74599983i</v>
      </c>
      <c r="M68" s="4" t="str">
        <f t="shared" si="6"/>
        <v>-0.641503684833884+0.75458759635437i</v>
      </c>
      <c r="N68" s="4">
        <f t="shared" si="7"/>
        <v>132.07320072190456</v>
      </c>
      <c r="O68" s="4">
        <f t="shared" si="8"/>
        <v>1.4683353303360795</v>
      </c>
      <c r="P68" s="4">
        <f t="shared" si="9"/>
        <v>132.16705520777811</v>
      </c>
      <c r="Q68" s="4">
        <f t="shared" si="10"/>
        <v>-8.3622407109641625E-2</v>
      </c>
      <c r="R68" s="4">
        <f t="shared" si="11"/>
        <v>-114.00153677673913</v>
      </c>
      <c r="S68" s="4">
        <f t="shared" si="12"/>
        <v>32.994050120658308</v>
      </c>
      <c r="T68" s="4">
        <f t="shared" si="13"/>
        <v>-113.70050748311695</v>
      </c>
      <c r="U68" s="4">
        <f t="shared" si="14"/>
        <v>130.36913075579312</v>
      </c>
    </row>
    <row r="69" spans="1:21">
      <c r="A69" s="4">
        <v>5059.7908310000003</v>
      </c>
      <c r="B69" s="4">
        <v>-478893.91578578303</v>
      </c>
      <c r="C69" s="5">
        <v>-0.71573389371188001</v>
      </c>
      <c r="D69" s="4">
        <v>-509717.98531256203</v>
      </c>
      <c r="E69" s="4">
        <v>0.18686529510397401</v>
      </c>
      <c r="F69" s="4">
        <v>3974640.1618340602</v>
      </c>
      <c r="G69" s="5">
        <v>0.380243506282883</v>
      </c>
      <c r="H69" s="4">
        <v>4018195.7209144202</v>
      </c>
      <c r="I69" s="4">
        <v>-3.1168649097090301E-2</v>
      </c>
      <c r="J69" s="4" t="str">
        <f t="shared" si="3"/>
        <v>-478893.915785783+3974640.16183406i</v>
      </c>
      <c r="K69" s="4" t="str">
        <f t="shared" si="4"/>
        <v>-0.71573389371188+0.380243506282883i</v>
      </c>
      <c r="L69" s="4" t="str">
        <f t="shared" si="5"/>
        <v>-509717.985312562+4018195.72091442i</v>
      </c>
      <c r="M69" s="4" t="str">
        <f t="shared" si="6"/>
        <v>0.186865295103974-0.0311686490970903i</v>
      </c>
      <c r="N69" s="4">
        <f t="shared" si="7"/>
        <v>132.04855049621233</v>
      </c>
      <c r="O69" s="4">
        <f t="shared" si="8"/>
        <v>-1.8252709762668173</v>
      </c>
      <c r="P69" s="4">
        <f t="shared" si="9"/>
        <v>132.14995011195634</v>
      </c>
      <c r="Q69" s="4">
        <f t="shared" si="10"/>
        <v>-14.450250508517691</v>
      </c>
      <c r="R69" s="4">
        <f t="shared" si="11"/>
        <v>96.870299325470583</v>
      </c>
      <c r="S69" s="4">
        <f t="shared" si="12"/>
        <v>152.01990908490819</v>
      </c>
      <c r="T69" s="4">
        <f t="shared" si="13"/>
        <v>97.229497283157031</v>
      </c>
      <c r="U69" s="4">
        <f t="shared" si="14"/>
        <v>-9.4696111874210338</v>
      </c>
    </row>
    <row r="70" spans="1:21">
      <c r="A70" s="4">
        <v>6369.7354210000003</v>
      </c>
      <c r="B70" s="4">
        <v>-2300931.3095681299</v>
      </c>
      <c r="C70" s="5">
        <v>0.47496423572698498</v>
      </c>
      <c r="D70" s="4">
        <v>-2354766.0724651702</v>
      </c>
      <c r="E70" s="4">
        <v>-3.99794780683368E-2</v>
      </c>
      <c r="F70" s="4">
        <v>3258039.68268946</v>
      </c>
      <c r="G70" s="5">
        <v>0.584831002890424</v>
      </c>
      <c r="H70" s="4">
        <v>3283208.66072529</v>
      </c>
      <c r="I70" s="4">
        <v>0.68172519228039796</v>
      </c>
      <c r="J70" s="4" t="str">
        <f t="shared" si="3"/>
        <v>-2300931.30956813+3258039.68268946i</v>
      </c>
      <c r="K70" s="4" t="str">
        <f t="shared" si="4"/>
        <v>0.474964235726985+0.584831002890424i</v>
      </c>
      <c r="L70" s="4" t="str">
        <f t="shared" si="5"/>
        <v>-2354766.07246517+3283208.66072529i</v>
      </c>
      <c r="M70" s="4" t="str">
        <f t="shared" si="6"/>
        <v>-0.0399794780683368+0.681725192280398i</v>
      </c>
      <c r="N70" s="4">
        <f t="shared" si="7"/>
        <v>132.01645815488502</v>
      </c>
      <c r="O70" s="4">
        <f t="shared" si="8"/>
        <v>-2.4594359056370392</v>
      </c>
      <c r="P70" s="4">
        <f t="shared" si="9"/>
        <v>132.12836758696997</v>
      </c>
      <c r="Q70" s="4">
        <f t="shared" si="10"/>
        <v>-3.3129025723806027</v>
      </c>
      <c r="R70" s="4">
        <f t="shared" si="11"/>
        <v>125.23095501451814</v>
      </c>
      <c r="S70" s="4">
        <f t="shared" si="12"/>
        <v>50.918592220719106</v>
      </c>
      <c r="T70" s="4">
        <f t="shared" si="13"/>
        <v>125.64865342588753</v>
      </c>
      <c r="U70" s="4">
        <f t="shared" si="14"/>
        <v>93.356242069248424</v>
      </c>
    </row>
    <row r="71" spans="1:21">
      <c r="A71" s="4">
        <v>8019.2636849999999</v>
      </c>
      <c r="B71" s="4">
        <v>-837805.45523463201</v>
      </c>
      <c r="C71" s="5">
        <v>1.1110728361706701</v>
      </c>
      <c r="D71" s="4">
        <v>-882228.73754728201</v>
      </c>
      <c r="E71" s="4">
        <v>-6.6067476461958499E-2</v>
      </c>
      <c r="F71" s="4">
        <v>3881300.20766707</v>
      </c>
      <c r="G71" s="5">
        <v>-0.37970057506427202</v>
      </c>
      <c r="H71" s="4">
        <v>3930802.7492577499</v>
      </c>
      <c r="I71" s="4">
        <v>0.36255734088663999</v>
      </c>
      <c r="J71" s="4" t="str">
        <f t="shared" si="3"/>
        <v>-837805.455234632+3881300.20766707i</v>
      </c>
      <c r="K71" s="4" t="str">
        <f t="shared" si="4"/>
        <v>1.11107283617067-0.379700575064272i</v>
      </c>
      <c r="L71" s="4" t="str">
        <f t="shared" si="5"/>
        <v>-882228.737547282+3930802.74925775i</v>
      </c>
      <c r="M71" s="4" t="str">
        <f t="shared" si="6"/>
        <v>-0.0660674764619585+0.36255734088664i</v>
      </c>
      <c r="N71" s="4">
        <f t="shared" si="7"/>
        <v>131.97732796296341</v>
      </c>
      <c r="O71" s="4">
        <f t="shared" si="8"/>
        <v>1.3945571803688286</v>
      </c>
      <c r="P71" s="4">
        <f t="shared" si="9"/>
        <v>132.10306151728017</v>
      </c>
      <c r="Q71" s="4">
        <f t="shared" si="10"/>
        <v>-8.670594988630322</v>
      </c>
      <c r="R71" s="4">
        <f t="shared" si="11"/>
        <v>102.18079977112271</v>
      </c>
      <c r="S71" s="4">
        <f t="shared" si="12"/>
        <v>-18.867467416542819</v>
      </c>
      <c r="T71" s="4">
        <f t="shared" si="13"/>
        <v>102.6498314976329</v>
      </c>
      <c r="U71" s="4">
        <f t="shared" si="14"/>
        <v>100.3274790563586</v>
      </c>
    </row>
    <row r="72" spans="1:21">
      <c r="A72" s="4">
        <v>10096.471541000001</v>
      </c>
      <c r="B72" s="4">
        <v>-772983.04924847395</v>
      </c>
      <c r="C72" s="5">
        <v>-0.28173195999466599</v>
      </c>
      <c r="D72" s="4">
        <v>-751135.65237732697</v>
      </c>
      <c r="E72" s="4">
        <v>-6.9310284479871795E-2</v>
      </c>
      <c r="F72" s="4">
        <v>-3872969.6179893799</v>
      </c>
      <c r="G72" s="5">
        <v>-0.60281695974439597</v>
      </c>
      <c r="H72" s="4">
        <v>-3943883.8302149801</v>
      </c>
      <c r="I72" s="4">
        <v>0.34077858674397798</v>
      </c>
      <c r="J72" s="4" t="str">
        <f t="shared" si="3"/>
        <v>-772983.049248474-3872969.61798938i</v>
      </c>
      <c r="K72" s="4" t="str">
        <f t="shared" si="4"/>
        <v>-0.281731959994666-0.602816959744396i</v>
      </c>
      <c r="L72" s="4" t="str">
        <f t="shared" si="5"/>
        <v>-751135.652377327-3943883.83021498i</v>
      </c>
      <c r="M72" s="4" t="str">
        <f t="shared" si="6"/>
        <v>-0.0693102844798718+0.340778586743978i</v>
      </c>
      <c r="N72" s="4">
        <f t="shared" si="7"/>
        <v>131.93052111237211</v>
      </c>
      <c r="O72" s="4">
        <f t="shared" si="8"/>
        <v>-3.5383045963204527</v>
      </c>
      <c r="P72" s="4">
        <f t="shared" si="9"/>
        <v>132.07322587540853</v>
      </c>
      <c r="Q72" s="4">
        <f t="shared" si="10"/>
        <v>-9.1745172328074887</v>
      </c>
      <c r="R72" s="4">
        <f t="shared" si="11"/>
        <v>-101.28701632779097</v>
      </c>
      <c r="S72" s="4">
        <f t="shared" si="12"/>
        <v>-115.04946096365381</v>
      </c>
      <c r="T72" s="4">
        <f t="shared" si="13"/>
        <v>-100.78317191336178</v>
      </c>
      <c r="U72" s="4">
        <f t="shared" si="14"/>
        <v>101.4964638015782</v>
      </c>
    </row>
    <row r="73" spans="1:21">
      <c r="A73" s="4">
        <v>12710.556156000001</v>
      </c>
      <c r="B73" s="4">
        <v>-2551985.4107936602</v>
      </c>
      <c r="C73" s="5">
        <v>-0.29425947466983798</v>
      </c>
      <c r="D73" s="4">
        <v>-2627081.0196849499</v>
      </c>
      <c r="E73" s="4">
        <v>-0.25873309346925499</v>
      </c>
      <c r="F73" s="4">
        <v>2984847.76203233</v>
      </c>
      <c r="G73" s="5">
        <v>-8.7529788389355601E-2</v>
      </c>
      <c r="H73" s="4">
        <v>3017485.1697832299</v>
      </c>
      <c r="I73" s="4">
        <v>0.367385110512156</v>
      </c>
      <c r="J73" s="4" t="str">
        <f t="shared" si="3"/>
        <v>-2551985.41079366+2984847.76203233i</v>
      </c>
      <c r="K73" s="4" t="str">
        <f t="shared" si="4"/>
        <v>-0.294259474669838-0.0875297883893556i</v>
      </c>
      <c r="L73" s="4" t="str">
        <f t="shared" si="5"/>
        <v>-2627081.01968495+3017485.16978323i</v>
      </c>
      <c r="M73" s="4" t="str">
        <f t="shared" si="6"/>
        <v>-0.258733093469255+0.367385110512156i</v>
      </c>
      <c r="N73" s="4">
        <f t="shared" si="7"/>
        <v>131.88139169643048</v>
      </c>
      <c r="O73" s="4">
        <f t="shared" si="8"/>
        <v>-10.257181697875575</v>
      </c>
      <c r="P73" s="4">
        <f t="shared" si="9"/>
        <v>132.04303743545765</v>
      </c>
      <c r="Q73" s="4">
        <f t="shared" si="10"/>
        <v>-6.9483220588763448</v>
      </c>
      <c r="R73" s="4">
        <f t="shared" si="11"/>
        <v>130.52978353606576</v>
      </c>
      <c r="S73" s="4">
        <f t="shared" si="12"/>
        <v>-163.43447744437518</v>
      </c>
      <c r="T73" s="4">
        <f t="shared" si="13"/>
        <v>131.04346144712991</v>
      </c>
      <c r="U73" s="4">
        <f t="shared" si="14"/>
        <v>125.15534365031701</v>
      </c>
    </row>
    <row r="74" spans="1:21">
      <c r="A74" s="4">
        <v>16000.960204000001</v>
      </c>
      <c r="B74" s="4">
        <v>3375817.2868379499</v>
      </c>
      <c r="C74" s="5">
        <v>0.21727860851282099</v>
      </c>
      <c r="D74" s="4">
        <v>3429696.7897066898</v>
      </c>
      <c r="E74" s="4">
        <v>0.44757504093379202</v>
      </c>
      <c r="F74" s="4">
        <v>1945466.3990036901</v>
      </c>
      <c r="G74" s="5">
        <v>0.34180240678507301</v>
      </c>
      <c r="H74" s="4">
        <v>2016157.1924930799</v>
      </c>
      <c r="I74" s="4">
        <v>0.50822817265855702</v>
      </c>
      <c r="J74" s="4" t="str">
        <f t="shared" si="3"/>
        <v>3375817.28683795+1945466.39900369i</v>
      </c>
      <c r="K74" s="4" t="str">
        <f t="shared" si="4"/>
        <v>0.217278608512821+0.341802406785073i</v>
      </c>
      <c r="L74" s="4" t="str">
        <f t="shared" si="5"/>
        <v>3429696.78970669+2016157.19249308i</v>
      </c>
      <c r="M74" s="4" t="str">
        <f t="shared" si="6"/>
        <v>0.447575040933792+0.508228172658557i</v>
      </c>
      <c r="N74" s="4">
        <f t="shared" si="7"/>
        <v>131.81299861429397</v>
      </c>
      <c r="O74" s="4">
        <f t="shared" si="8"/>
        <v>-7.8505320722896492</v>
      </c>
      <c r="P74" s="4">
        <f t="shared" si="9"/>
        <v>131.99418081490532</v>
      </c>
      <c r="Q74" s="4">
        <f t="shared" si="10"/>
        <v>-3.3854767974356115</v>
      </c>
      <c r="R74" s="4">
        <f t="shared" si="11"/>
        <v>29.954629567900593</v>
      </c>
      <c r="S74" s="4">
        <f t="shared" si="12"/>
        <v>57.556498263118172</v>
      </c>
      <c r="T74" s="4">
        <f t="shared" si="13"/>
        <v>30.449264767965829</v>
      </c>
      <c r="U74" s="4">
        <f t="shared" si="14"/>
        <v>48.630993228429155</v>
      </c>
    </row>
    <row r="75" spans="1:21">
      <c r="A75" s="4" t="s">
        <v>32</v>
      </c>
      <c r="B75" s="4" t="s">
        <v>10</v>
      </c>
      <c r="C75" s="4" t="s">
        <v>11</v>
      </c>
      <c r="D75" s="4" t="s">
        <v>33</v>
      </c>
    </row>
    <row r="78" spans="1:21" s="3" customFormat="1">
      <c r="I78" s="3" t="s">
        <v>43</v>
      </c>
      <c r="J78" s="3" t="s">
        <v>42</v>
      </c>
      <c r="N78" s="3" t="s">
        <v>39</v>
      </c>
      <c r="R78" s="3" t="s">
        <v>40</v>
      </c>
    </row>
    <row r="79" spans="1:21" s="3" customFormat="1">
      <c r="I79" s="3" t="s">
        <v>44</v>
      </c>
      <c r="J79" s="3" t="s">
        <v>35</v>
      </c>
      <c r="K79" s="3" t="s">
        <v>36</v>
      </c>
      <c r="L79" s="3" t="s">
        <v>37</v>
      </c>
      <c r="M79" s="3" t="s">
        <v>38</v>
      </c>
      <c r="N79" s="3" t="s">
        <v>35</v>
      </c>
      <c r="O79" s="3" t="s">
        <v>36</v>
      </c>
      <c r="P79" s="3" t="s">
        <v>37</v>
      </c>
      <c r="Q79" s="3" t="s">
        <v>38</v>
      </c>
      <c r="R79" s="3" t="s">
        <v>35</v>
      </c>
      <c r="S79" s="3" t="s">
        <v>36</v>
      </c>
      <c r="T79" s="3" t="s">
        <v>37</v>
      </c>
      <c r="U79" s="3" t="s">
        <v>38</v>
      </c>
    </row>
    <row r="80" spans="1:21">
      <c r="I80" s="4">
        <v>16.001450999999999</v>
      </c>
      <c r="J80" s="4" t="str">
        <f>IMDIV(J13,J44)</f>
        <v>0.999836233176375-1.92801510075298E-06i</v>
      </c>
      <c r="K80" s="4" t="str">
        <f>IMDIV(K13,K44)</f>
        <v>0.541523644071195+0.0137473810282117i</v>
      </c>
      <c r="L80" s="4" t="str">
        <f>IMDIV(L13,L44)</f>
        <v>0.999846114824733-2.75573020878461E-06i</v>
      </c>
      <c r="M80" s="4" t="str">
        <f>IMDIV(M13,M44)</f>
        <v>-0.0979640123079009+0.250941426407869i</v>
      </c>
      <c r="N80" s="4">
        <f>20*LOG(IMABS(J80))</f>
        <v>-1.4225770288761295E-3</v>
      </c>
      <c r="O80" s="4">
        <f t="shared" ref="O80:O141" si="15">20*LOG(IMABS(K80))</f>
        <v>-5.324853516619358</v>
      </c>
      <c r="P80" s="4">
        <f t="shared" ref="P80:P141" si="16">20*LOG(IMABS(L80))</f>
        <v>-1.336732470607902E-3</v>
      </c>
      <c r="Q80" s="4">
        <f t="shared" ref="Q80:Q141" si="17">20*LOG(IMABS(M80))</f>
        <v>-11.392515713028637</v>
      </c>
      <c r="R80" s="4">
        <f>DEGREES(IMARGUMENT(J80))</f>
        <v>-1.1048522192435104E-4</v>
      </c>
      <c r="S80" s="4">
        <f t="shared" ref="S80:S141" si="18">DEGREES(IMARGUMENT(K80))</f>
        <v>1.4542260086622838</v>
      </c>
      <c r="T80" s="4">
        <f t="shared" ref="T80:T141" si="19">DEGREES(IMARGUMENT(L80))</f>
        <v>-1.5791601137275107E-4</v>
      </c>
      <c r="U80" s="4">
        <f t="shared" ref="U80:U141" si="20">DEGREES(IMARGUMENT(M80))</f>
        <v>111.32497604524723</v>
      </c>
    </row>
    <row r="81" spans="9:21">
      <c r="I81" s="4">
        <v>20.143118000000001</v>
      </c>
      <c r="J81" s="4" t="str">
        <f>IMDIV(J14,J45)</f>
        <v>0.999826898796676-8.71151809531831E-07i</v>
      </c>
      <c r="K81" s="4" t="str">
        <f>IMDIV(K14,K45)</f>
        <v>-1.23581224447804+1.03701258770847i</v>
      </c>
      <c r="L81" s="4" t="str">
        <f>IMDIV(L14,L45)</f>
        <v>0.999835562193172-2.0941742642614E-07i</v>
      </c>
      <c r="M81" s="4" t="str">
        <f>IMDIV(M14,M45)</f>
        <v>0.271518265613951-1.42862844897446i</v>
      </c>
      <c r="N81" s="4">
        <f t="shared" ref="N81:N141" si="21">20*LOG(IMABS(J81))</f>
        <v>-1.5036680921245483E-3</v>
      </c>
      <c r="O81" s="4">
        <f t="shared" si="15"/>
        <v>4.1541193268253851</v>
      </c>
      <c r="P81" s="4">
        <f t="shared" si="16"/>
        <v>-1.428406087443177E-3</v>
      </c>
      <c r="Q81" s="4">
        <f t="shared" si="17"/>
        <v>3.2524905563470679</v>
      </c>
      <c r="R81" s="4">
        <f t="shared" ref="R81:R141" si="22">DEGREES(IMARGUMENT(J81))</f>
        <v>-4.9921963553309222E-5</v>
      </c>
      <c r="S81" s="4">
        <f t="shared" si="18"/>
        <v>139.99883042084909</v>
      </c>
      <c r="T81" s="4">
        <f t="shared" si="19"/>
        <v>-1.2000708060822985E-5</v>
      </c>
      <c r="U81" s="4">
        <f t="shared" si="20"/>
        <v>-79.238980411127187</v>
      </c>
    </row>
    <row r="82" spans="9:21">
      <c r="I82" s="4">
        <v>25.362767999999999</v>
      </c>
      <c r="J82" s="4" t="str">
        <f>IMDIV(J15,J46)</f>
        <v>0.999839641149045-0.0000038702551994903i</v>
      </c>
      <c r="K82" s="4" t="str">
        <f>IMDIV(K15,K46)</f>
        <v>0.840073939255204-0.432018535695997i</v>
      </c>
      <c r="L82" s="4" t="str">
        <f>IMDIV(L15,L46)</f>
        <v>0.999851004361652-3.06170771301353E-06i</v>
      </c>
      <c r="M82" s="4" t="str">
        <f>IMDIV(M15,M46)</f>
        <v>-0.0910993399574976+0.286791288659203i</v>
      </c>
      <c r="N82" s="4">
        <f t="shared" si="21"/>
        <v>-1.3929709074069431E-3</v>
      </c>
      <c r="O82" s="4">
        <f t="shared" si="15"/>
        <v>-0.49457842343367303</v>
      </c>
      <c r="P82" s="4">
        <f t="shared" si="16"/>
        <v>-1.2942560521710688E-3</v>
      </c>
      <c r="Q82" s="4">
        <f t="shared" si="17"/>
        <v>-10.431195407034057</v>
      </c>
      <c r="R82" s="4">
        <f t="shared" si="22"/>
        <v>-2.2178485373255288E-4</v>
      </c>
      <c r="S82" s="4">
        <f t="shared" si="18"/>
        <v>-27.215060296838878</v>
      </c>
      <c r="T82" s="4">
        <f t="shared" si="19"/>
        <v>-1.7544907120414007E-4</v>
      </c>
      <c r="U82" s="4">
        <f t="shared" si="20"/>
        <v>107.62246610947949</v>
      </c>
    </row>
    <row r="83" spans="9:21">
      <c r="I83" s="4">
        <v>31.929302</v>
      </c>
      <c r="J83" s="4" t="str">
        <f>IMDIV(J16,J47)</f>
        <v>0.999829665360124-2.33856354532412E-06i</v>
      </c>
      <c r="K83" s="4" t="str">
        <f>IMDIV(K16,K47)</f>
        <v>-0.0680803130275845+0.297567026378137i</v>
      </c>
      <c r="L83" s="4" t="str">
        <f>IMDIV(L16,L47)</f>
        <v>0.999844072203518-1.65372377654488E-06i</v>
      </c>
      <c r="M83" s="4" t="str">
        <f>IMDIV(M16,M47)</f>
        <v>0.0956474555826809+0.264669415135763i</v>
      </c>
      <c r="N83" s="4">
        <f t="shared" si="21"/>
        <v>-1.4796338797753571E-3</v>
      </c>
      <c r="O83" s="4">
        <f t="shared" si="15"/>
        <v>-10.306723338356715</v>
      </c>
      <c r="P83" s="4">
        <f t="shared" si="16"/>
        <v>-1.3544772229386634E-3</v>
      </c>
      <c r="Q83" s="4">
        <f t="shared" si="17"/>
        <v>-11.012839481894225</v>
      </c>
      <c r="R83" s="4">
        <f t="shared" si="22"/>
        <v>-1.3401264826615978E-4</v>
      </c>
      <c r="S83" s="4">
        <f t="shared" si="18"/>
        <v>102.88689383757257</v>
      </c>
      <c r="T83" s="4">
        <f t="shared" si="19"/>
        <v>-9.4766169556370823E-5</v>
      </c>
      <c r="U83" s="4">
        <f t="shared" si="20"/>
        <v>70.13092378972344</v>
      </c>
    </row>
    <row r="84" spans="9:21">
      <c r="I84" s="4">
        <v>40.195312000000001</v>
      </c>
      <c r="J84" s="4" t="str">
        <f>IMDIV(J17,J48)</f>
        <v>0.999826711154812-3.23633914006388E-06i</v>
      </c>
      <c r="K84" s="4" t="str">
        <f>IMDIV(K17,K48)</f>
        <v>-0.686716123109404-0.162178425472896i</v>
      </c>
      <c r="L84" s="4" t="str">
        <f>IMDIV(L17,L48)</f>
        <v>0.999835089482824-2.62025844367212E-06i</v>
      </c>
      <c r="M84" s="4" t="str">
        <f>IMDIV(M17,M48)</f>
        <v>-0.0728357925197744-0.874888803692768i</v>
      </c>
      <c r="N84" s="4">
        <f t="shared" si="21"/>
        <v>-1.5052981687673998E-3</v>
      </c>
      <c r="O84" s="4">
        <f t="shared" si="15"/>
        <v>-3.0287455549983475</v>
      </c>
      <c r="P84" s="4">
        <f t="shared" si="16"/>
        <v>-1.4325126439683629E-3</v>
      </c>
      <c r="Q84" s="4">
        <f t="shared" si="17"/>
        <v>-1.1309465305271147</v>
      </c>
      <c r="R84" s="4">
        <f t="shared" si="22"/>
        <v>-1.8546071207063339E-4</v>
      </c>
      <c r="S84" s="4">
        <f t="shared" si="18"/>
        <v>-166.7122001130322</v>
      </c>
      <c r="T84" s="4">
        <f t="shared" si="19"/>
        <v>-1.5015451211383533E-4</v>
      </c>
      <c r="U84" s="4">
        <f t="shared" si="20"/>
        <v>-94.758984463127277</v>
      </c>
    </row>
    <row r="85" spans="9:21">
      <c r="I85" s="4">
        <v>50.597405000000002</v>
      </c>
      <c r="J85" s="4" t="str">
        <f>IMDIV(J18,J49)</f>
        <v>0.999841771506812-7.15239255033412E-06i</v>
      </c>
      <c r="K85" s="4" t="str">
        <f>IMDIV(K18,K49)</f>
        <v>0.364693541368136+1.04555119262915i</v>
      </c>
      <c r="L85" s="4" t="str">
        <f>IMDIV(L18,L49)</f>
        <v>0.999853091769855-6.39936539968152E-06i</v>
      </c>
      <c r="M85" s="4" t="str">
        <f>IMDIV(M18,M49)</f>
        <v>0.429094912444415+1.18154600625503i</v>
      </c>
      <c r="N85" s="4">
        <f t="shared" si="21"/>
        <v>-1.3744637497367148E-3</v>
      </c>
      <c r="O85" s="4">
        <f t="shared" si="15"/>
        <v>0.88553759040569446</v>
      </c>
      <c r="P85" s="4">
        <f t="shared" si="16"/>
        <v>-1.2761222347973198E-3</v>
      </c>
      <c r="Q85" s="4">
        <f t="shared" si="17"/>
        <v>1.9870474919813972</v>
      </c>
      <c r="R85" s="4">
        <f t="shared" si="22"/>
        <v>-4.0986675914767386E-4</v>
      </c>
      <c r="S85" s="4">
        <f t="shared" si="18"/>
        <v>70.770970076402477</v>
      </c>
      <c r="T85" s="4">
        <f t="shared" si="19"/>
        <v>-3.6671050174958135E-4</v>
      </c>
      <c r="U85" s="4">
        <f t="shared" si="20"/>
        <v>70.040803364818558</v>
      </c>
    </row>
    <row r="86" spans="9:21">
      <c r="I86" s="4">
        <v>63.69847</v>
      </c>
      <c r="J86" s="4" t="str">
        <f>IMDIV(J19,J50)</f>
        <v>0.999850994091395-4.99515405393352E-06i</v>
      </c>
      <c r="K86" s="4" t="str">
        <f>IMDIV(K19,K50)</f>
        <v>-0.716754503956094-2.91036769079077i</v>
      </c>
      <c r="L86" s="4" t="str">
        <f>IMDIV(L19,L50)</f>
        <v>0.999862863187758-3.15519015281598E-06i</v>
      </c>
      <c r="M86" s="4" t="str">
        <f>IMDIV(M19,M50)</f>
        <v>-0.0409868440305052-0.376885597288257i</v>
      </c>
      <c r="N86" s="4">
        <f t="shared" si="21"/>
        <v>-1.2943452041133357E-3</v>
      </c>
      <c r="O86" s="4">
        <f t="shared" si="15"/>
        <v>9.5346863694868293</v>
      </c>
      <c r="P86" s="4">
        <f t="shared" si="16"/>
        <v>-1.1912368562846051E-3</v>
      </c>
      <c r="Q86" s="4">
        <f t="shared" si="17"/>
        <v>-8.4247470872486154</v>
      </c>
      <c r="R86" s="4">
        <f t="shared" si="22"/>
        <v>-2.8624389733767865E-4</v>
      </c>
      <c r="S86" s="4">
        <f t="shared" si="18"/>
        <v>-103.83526451033192</v>
      </c>
      <c r="T86" s="4">
        <f t="shared" si="19"/>
        <v>-1.8080387418393945E-4</v>
      </c>
      <c r="U86" s="4">
        <f t="shared" si="20"/>
        <v>-96.206605855671057</v>
      </c>
    </row>
    <row r="87" spans="9:21">
      <c r="I87" s="4">
        <v>80.201261000000002</v>
      </c>
      <c r="J87" s="4" t="str">
        <f>IMDIV(J20,J51)</f>
        <v>0.999849130623611-5.17404227608061E-06i</v>
      </c>
      <c r="K87" s="4" t="str">
        <f>IMDIV(K20,K51)</f>
        <v>0.387692276856272-0.156060824977755i</v>
      </c>
      <c r="L87" s="4" t="str">
        <f>IMDIV(L20,L51)</f>
        <v>0.999861267813988-4.30219882823781E-06i</v>
      </c>
      <c r="M87" s="4" t="str">
        <f>IMDIV(M20,M51)</f>
        <v>1.30797255706538-0.0170404061315505i</v>
      </c>
      <c r="N87" s="4">
        <f t="shared" si="21"/>
        <v>-1.3105334989608778E-3</v>
      </c>
      <c r="O87" s="4">
        <f t="shared" si="15"/>
        <v>-7.5780584142286038</v>
      </c>
      <c r="P87" s="4">
        <f t="shared" si="16"/>
        <v>-1.2050959712804274E-3</v>
      </c>
      <c r="Q87" s="4">
        <f t="shared" si="17"/>
        <v>2.3327097128949643</v>
      </c>
      <c r="R87" s="4">
        <f t="shared" si="22"/>
        <v>-2.9649551753286734E-4</v>
      </c>
      <c r="S87" s="4">
        <f t="shared" si="18"/>
        <v>-21.926652684305719</v>
      </c>
      <c r="T87" s="4">
        <f t="shared" si="19"/>
        <v>-2.4653203741110545E-4</v>
      </c>
      <c r="U87" s="4">
        <f t="shared" si="20"/>
        <v>-0.7464133051688846</v>
      </c>
    </row>
    <row r="88" spans="9:21">
      <c r="I88" s="4">
        <v>100.96802700000001</v>
      </c>
      <c r="J88" s="4" t="str">
        <f>IMDIV(J21,J52)</f>
        <v>0.999858462125163-6.43801408912595E-06i</v>
      </c>
      <c r="K88" s="4" t="str">
        <f>IMDIV(K21,K52)</f>
        <v>0.357994627570772-0.0693810620159676i</v>
      </c>
      <c r="L88" s="4" t="str">
        <f>IMDIV(L21,L52)</f>
        <v>0.999866925233044-5.73508978774563E-06i</v>
      </c>
      <c r="M88" s="4" t="str">
        <f>IMDIV(M21,M52)</f>
        <v>-0.0747506117451848-0.0637931844473463i</v>
      </c>
      <c r="N88" s="4">
        <f t="shared" si="21"/>
        <v>-1.229469190675896E-3</v>
      </c>
      <c r="O88" s="4">
        <f t="shared" si="15"/>
        <v>-8.7623364215281008</v>
      </c>
      <c r="P88" s="4">
        <f t="shared" si="16"/>
        <v>-1.1559495120803925E-3</v>
      </c>
      <c r="Q88" s="4">
        <f t="shared" si="17"/>
        <v>-20.15147679776652</v>
      </c>
      <c r="R88" s="4">
        <f t="shared" si="22"/>
        <v>-3.6892325236069729E-4</v>
      </c>
      <c r="S88" s="4">
        <f t="shared" si="18"/>
        <v>-10.968220520102596</v>
      </c>
      <c r="T88" s="4">
        <f t="shared" si="19"/>
        <v>-3.2864017367732464E-4</v>
      </c>
      <c r="U88" s="4">
        <f t="shared" si="20"/>
        <v>-139.52210930120449</v>
      </c>
    </row>
    <row r="89" spans="9:21">
      <c r="I89" s="4">
        <v>127.10439</v>
      </c>
      <c r="J89" s="4" t="str">
        <f>IMDIV(J22,J53)</f>
        <v>0.999837244380947-6.96285258093127E-06i</v>
      </c>
      <c r="K89" s="4" t="str">
        <f>IMDIV(K22,K53)</f>
        <v>-0.561161272596242-0.135374109628846i</v>
      </c>
      <c r="L89" s="4" t="str">
        <f>IMDIV(L22,L53)</f>
        <v>0.999844134103527-5.94100918662964E-06i</v>
      </c>
      <c r="M89" s="4" t="str">
        <f>IMDIV(M22,M53)</f>
        <v>-0.00674882126193215+0.437367800788996i</v>
      </c>
      <c r="N89" s="4">
        <f t="shared" si="21"/>
        <v>-1.4137921888986986E-3</v>
      </c>
      <c r="O89" s="4">
        <f t="shared" si="15"/>
        <v>-4.7725835261176677</v>
      </c>
      <c r="P89" s="4">
        <f t="shared" si="16"/>
        <v>-1.3539393410046498E-3</v>
      </c>
      <c r="Q89" s="4">
        <f t="shared" si="17"/>
        <v>-7.1820299226232684</v>
      </c>
      <c r="R89" s="4">
        <f t="shared" si="22"/>
        <v>-3.9900700688509714E-4</v>
      </c>
      <c r="S89" s="4">
        <f t="shared" si="18"/>
        <v>-166.43715034297119</v>
      </c>
      <c r="T89" s="4">
        <f t="shared" si="19"/>
        <v>-3.4044781664246558E-4</v>
      </c>
      <c r="U89" s="4">
        <f t="shared" si="20"/>
        <v>90.884034647865548</v>
      </c>
    </row>
    <row r="90" spans="9:21">
      <c r="I90" s="4">
        <v>160.00702200000001</v>
      </c>
      <c r="J90" s="4" t="str">
        <f>IMDIV(J23,J54)</f>
        <v>0.999835066976252-8.48880936077973E-06i</v>
      </c>
      <c r="K90" s="4" t="str">
        <f>IMDIV(K23,K54)</f>
        <v>0.647191603393935-0.0340237960984154i</v>
      </c>
      <c r="L90" s="4" t="str">
        <f>IMDIV(L23,L54)</f>
        <v>0.999844617478848-7.44874297188281E-06i</v>
      </c>
      <c r="M90" s="4" t="str">
        <f>IMDIV(M23,M54)</f>
        <v>0.564441566366594-1.63171037950419i</v>
      </c>
      <c r="N90" s="4">
        <f t="shared" si="21"/>
        <v>-1.4327078825878731E-3</v>
      </c>
      <c r="O90" s="4">
        <f t="shared" si="15"/>
        <v>-3.7673562308954516</v>
      </c>
      <c r="P90" s="4">
        <f t="shared" si="16"/>
        <v>-1.3497400551140742E-3</v>
      </c>
      <c r="Q90" s="4">
        <f t="shared" si="17"/>
        <v>4.7437261756287636</v>
      </c>
      <c r="R90" s="4">
        <f t="shared" si="22"/>
        <v>-4.8645318164629899E-4</v>
      </c>
      <c r="S90" s="4">
        <f t="shared" si="18"/>
        <v>-3.0093514410300308</v>
      </c>
      <c r="T90" s="4">
        <f t="shared" si="19"/>
        <v>-4.26847859655305E-4</v>
      </c>
      <c r="U90" s="4">
        <f t="shared" si="20"/>
        <v>-70.918463834491902</v>
      </c>
    </row>
    <row r="91" spans="9:21">
      <c r="I91" s="4">
        <v>201.45634899999999</v>
      </c>
      <c r="J91" s="4" t="str">
        <f>IMDIV(J24,J55)</f>
        <v>0.999844153874277-0.0000117447218741733i</v>
      </c>
      <c r="K91" s="4" t="str">
        <f>IMDIV(K24,K55)</f>
        <v>-4.19420419471721+2.19390119172783i</v>
      </c>
      <c r="L91" s="4" t="str">
        <f>IMDIV(L24,L55)</f>
        <v>0.999850100145903-9.92822556501746E-06i</v>
      </c>
      <c r="M91" s="4" t="str">
        <f>IMDIV(M24,M55)</f>
        <v>-0.690172831698966+1.55952165130799i</v>
      </c>
      <c r="N91" s="4">
        <f t="shared" si="21"/>
        <v>-1.3537671417740416E-3</v>
      </c>
      <c r="O91" s="4">
        <f t="shared" si="15"/>
        <v>13.503362499839113</v>
      </c>
      <c r="P91" s="4">
        <f t="shared" si="16"/>
        <v>-1.3021107568139112E-3</v>
      </c>
      <c r="Q91" s="4">
        <f t="shared" si="17"/>
        <v>4.6366105239142659</v>
      </c>
      <c r="R91" s="4">
        <f t="shared" si="22"/>
        <v>-6.7302788370233655E-4</v>
      </c>
      <c r="S91" s="4">
        <f t="shared" si="18"/>
        <v>152.38686741857492</v>
      </c>
      <c r="T91" s="4">
        <f t="shared" si="19"/>
        <v>-5.6893070554044349E-4</v>
      </c>
      <c r="U91" s="4">
        <f t="shared" si="20"/>
        <v>113.87198617730586</v>
      </c>
    </row>
    <row r="92" spans="9:21">
      <c r="I92" s="4">
        <v>253.58521099999999</v>
      </c>
      <c r="J92" s="4" t="str">
        <f>IMDIV(J25,J56)</f>
        <v>0.999856344477252-0.0000123689828915486i</v>
      </c>
      <c r="K92" s="4" t="str">
        <f>IMDIV(K25,K56)</f>
        <v>-0.792195383537882-0.466594625998461i</v>
      </c>
      <c r="L92" s="4" t="str">
        <f>IMDIV(L25,L56)</f>
        <v>0.999868299577613-0.0000106697871373747i</v>
      </c>
      <c r="M92" s="4" t="str">
        <f>IMDIV(M25,M56)</f>
        <v>0.0224331979397233+0.348400107929768i</v>
      </c>
      <c r="N92" s="4">
        <f t="shared" si="21"/>
        <v>-1.2478649854036918E-3</v>
      </c>
      <c r="O92" s="4">
        <f t="shared" si="15"/>
        <v>-0.72997315181692846</v>
      </c>
      <c r="P92" s="4">
        <f t="shared" si="16"/>
        <v>-1.144010174588519E-3</v>
      </c>
      <c r="Q92" s="4">
        <f t="shared" si="17"/>
        <v>-9.1404659003679249</v>
      </c>
      <c r="R92" s="4">
        <f t="shared" si="22"/>
        <v>-7.0879233845300453E-4</v>
      </c>
      <c r="S92" s="4">
        <f t="shared" si="18"/>
        <v>-149.50236888924255</v>
      </c>
      <c r="T92" s="4">
        <f t="shared" si="19"/>
        <v>-6.1141429477221262E-4</v>
      </c>
      <c r="U92" s="4">
        <f t="shared" si="20"/>
        <v>86.315857455459295</v>
      </c>
    </row>
    <row r="93" spans="9:21">
      <c r="I93" s="4">
        <v>319.290075</v>
      </c>
      <c r="J93" s="4" t="str">
        <f>IMDIV(J26,J57)</f>
        <v>0.99985824394825-0.0000168083181045706i</v>
      </c>
      <c r="K93" s="4" t="str">
        <f>IMDIV(K26,K57)</f>
        <v>0.179863567305996-0.625482754746781i</v>
      </c>
      <c r="L93" s="4" t="str">
        <f>IMDIV(L26,L57)</f>
        <v>0.999869039841201-0.000014464147995687i</v>
      </c>
      <c r="M93" s="4" t="str">
        <f>IMDIV(M26,M57)</f>
        <v>-0.538558467211703-0.691854910140105i</v>
      </c>
      <c r="N93" s="4">
        <f t="shared" si="21"/>
        <v>-1.2313634724745004E-3</v>
      </c>
      <c r="O93" s="4">
        <f t="shared" si="15"/>
        <v>-3.7306498529311254</v>
      </c>
      <c r="P93" s="4">
        <f t="shared" si="16"/>
        <v>-1.1375790679318701E-3</v>
      </c>
      <c r="Q93" s="4">
        <f t="shared" si="17"/>
        <v>-1.142383509885843</v>
      </c>
      <c r="R93" s="4">
        <f t="shared" si="22"/>
        <v>-9.6318222492382916E-4</v>
      </c>
      <c r="S93" s="4">
        <f t="shared" si="18"/>
        <v>-73.956902915590192</v>
      </c>
      <c r="T93" s="4">
        <f t="shared" si="19"/>
        <v>-8.2884317978210891E-4</v>
      </c>
      <c r="U93" s="4">
        <f t="shared" si="20"/>
        <v>-127.89814952074971</v>
      </c>
    </row>
    <row r="94" spans="9:21">
      <c r="I94" s="4">
        <v>401.94414</v>
      </c>
      <c r="J94" s="4" t="str">
        <f>IMDIV(J27,J58)</f>
        <v>0.999850053782203-0.0000170444232473115i</v>
      </c>
      <c r="K94" s="4" t="str">
        <f>IMDIV(K27,K58)</f>
        <v>-0.0628085490648813+0.308324113234354i</v>
      </c>
      <c r="L94" s="4" t="str">
        <f>IMDIV(L27,L58)</f>
        <v>0.999861830213744-0.0000151887645687953i</v>
      </c>
      <c r="M94" s="4" t="str">
        <f>IMDIV(M27,M58)</f>
        <v>-0.147866231616571-0.00501658320762522i</v>
      </c>
      <c r="N94" s="4">
        <f t="shared" si="21"/>
        <v>-1.3025126933328963E-3</v>
      </c>
      <c r="O94" s="4">
        <f t="shared" si="15"/>
        <v>-10.043267618307956</v>
      </c>
      <c r="P94" s="4">
        <f t="shared" si="16"/>
        <v>-1.2002094308673603E-3</v>
      </c>
      <c r="Q94" s="4">
        <f t="shared" si="17"/>
        <v>-16.597624014284179</v>
      </c>
      <c r="R94" s="4">
        <f t="shared" si="22"/>
        <v>-9.767199716766168E-4</v>
      </c>
      <c r="S94" s="4">
        <f t="shared" si="18"/>
        <v>101.514149720351</v>
      </c>
      <c r="T94" s="4">
        <f t="shared" si="19"/>
        <v>-8.7037236490649424E-4</v>
      </c>
      <c r="U94" s="4">
        <f t="shared" si="20"/>
        <v>-178.05690020840714</v>
      </c>
    </row>
    <row r="95" spans="9:21">
      <c r="I95" s="4">
        <v>506.01529900000003</v>
      </c>
      <c r="J95" s="4" t="str">
        <f>IMDIV(J28,J59)</f>
        <v>0.999857216149203-0.0000295546911667565i</v>
      </c>
      <c r="K95" s="4" t="str">
        <f>IMDIV(K28,K59)</f>
        <v>0.0484781293700828+0.293066255547994i</v>
      </c>
      <c r="L95" s="4" t="str">
        <f>IMDIV(L28,L59)</f>
        <v>0.999868387845784-0.0000273529505883213i</v>
      </c>
      <c r="M95" s="4" t="str">
        <f>IMDIV(M28,M59)</f>
        <v>-1.72622647289633+2.16139307765981i</v>
      </c>
      <c r="N95" s="4">
        <f t="shared" si="21"/>
        <v>-1.2402895245992647E-3</v>
      </c>
      <c r="O95" s="4">
        <f t="shared" si="15"/>
        <v>-10.543445451311362</v>
      </c>
      <c r="P95" s="4">
        <f t="shared" si="16"/>
        <v>-1.143240630416677E-3</v>
      </c>
      <c r="Q95" s="4">
        <f t="shared" si="17"/>
        <v>8.8374532660665057</v>
      </c>
      <c r="R95" s="4">
        <f t="shared" si="22"/>
        <v>-1.6936008870309064E-3</v>
      </c>
      <c r="S95" s="4">
        <f t="shared" si="18"/>
        <v>80.607359525786833</v>
      </c>
      <c r="T95" s="4">
        <f t="shared" si="19"/>
        <v>-1.5674149164034345E-3</v>
      </c>
      <c r="U95" s="4">
        <f t="shared" si="20"/>
        <v>128.61309677031463</v>
      </c>
    </row>
    <row r="96" spans="9:21">
      <c r="I96" s="4">
        <v>636.97722999999996</v>
      </c>
      <c r="J96" s="4" t="str">
        <f>IMDIV(J29,J60)</f>
        <v>0.999853690287979-0.0000289304180355038i</v>
      </c>
      <c r="K96" s="4" t="str">
        <f>IMDIV(K29,K60)</f>
        <v>-0.944927815260961+0.303688509608043i</v>
      </c>
      <c r="L96" s="4" t="str">
        <f>IMDIV(L29,L60)</f>
        <v>0.999865507614265-0.000025141143244811i</v>
      </c>
      <c r="M96" s="4" t="str">
        <f>IMDIV(M29,M60)</f>
        <v>-0.873173120697588+0.18564541381465i</v>
      </c>
      <c r="N96" s="4">
        <f t="shared" si="21"/>
        <v>-1.2709193520738507E-3</v>
      </c>
      <c r="O96" s="4">
        <f t="shared" si="15"/>
        <v>-6.5129415388004791E-2</v>
      </c>
      <c r="P96" s="4">
        <f t="shared" si="16"/>
        <v>-1.1682618369467843E-3</v>
      </c>
      <c r="Q96" s="4">
        <f t="shared" si="17"/>
        <v>-0.98598615574881565</v>
      </c>
      <c r="R96" s="4">
        <f t="shared" si="22"/>
        <v>-1.6578334096496844E-3</v>
      </c>
      <c r="S96" s="4">
        <f t="shared" si="18"/>
        <v>162.18321531695761</v>
      </c>
      <c r="T96" s="4">
        <f t="shared" si="19"/>
        <v>-1.4406751595972137E-3</v>
      </c>
      <c r="U96" s="4">
        <f t="shared" si="20"/>
        <v>167.99706578352257</v>
      </c>
    </row>
    <row r="97" spans="9:21">
      <c r="I97" s="4">
        <v>801.91144499999996</v>
      </c>
      <c r="J97" s="4" t="str">
        <f>IMDIV(J30,J61)</f>
        <v>0.999853905694553-0.0000363317855039376i</v>
      </c>
      <c r="K97" s="4" t="str">
        <f>IMDIV(K30,K61)</f>
        <v>0.820847610413268+1.14465668812107i</v>
      </c>
      <c r="L97" s="4" t="str">
        <f>IMDIV(L30,L61)</f>
        <v>0.999862587524773-0.0000310113817618854i</v>
      </c>
      <c r="M97" s="4" t="str">
        <f>IMDIV(M30,M61)</f>
        <v>-0.440471443915085-0.311494086366272i</v>
      </c>
      <c r="N97" s="4">
        <f t="shared" si="21"/>
        <v>-1.2690459823785157E-3</v>
      </c>
      <c r="O97" s="4">
        <f t="shared" si="15"/>
        <v>2.975481763160845</v>
      </c>
      <c r="P97" s="4">
        <f t="shared" si="16"/>
        <v>-1.1936274287472296E-3</v>
      </c>
      <c r="Q97" s="4">
        <f t="shared" si="17"/>
        <v>-5.3604185867667713</v>
      </c>
      <c r="R97" s="4">
        <f t="shared" si="22"/>
        <v>-2.0819621334458656E-3</v>
      </c>
      <c r="S97" s="4">
        <f t="shared" si="18"/>
        <v>54.355220122434538</v>
      </c>
      <c r="T97" s="4">
        <f t="shared" si="19"/>
        <v>-1.7770654822218115E-3</v>
      </c>
      <c r="U97" s="4">
        <f t="shared" si="20"/>
        <v>-144.73268440203074</v>
      </c>
    </row>
    <row r="98" spans="9:21">
      <c r="I98" s="4">
        <v>1009.546788</v>
      </c>
      <c r="J98" s="4" t="str">
        <f>IMDIV(J31,J62)</f>
        <v>0.999855335177261-0.0000441178730538819i</v>
      </c>
      <c r="K98" s="4" t="str">
        <f>IMDIV(K31,K62)</f>
        <v>-1.25957722369317+1.39224075738156i</v>
      </c>
      <c r="L98" s="4" t="str">
        <f>IMDIV(L31,L62)</f>
        <v>0.999867479323995-0.0000385093099683711i</v>
      </c>
      <c r="M98" s="4" t="str">
        <f>IMDIV(M31,M62)</f>
        <v>0.271633434803804+0.572548052977831i</v>
      </c>
      <c r="N98" s="4">
        <f t="shared" si="21"/>
        <v>-1.2566251268545645E-3</v>
      </c>
      <c r="O98" s="4">
        <f t="shared" si="15"/>
        <v>5.4714299471425409</v>
      </c>
      <c r="P98" s="4">
        <f t="shared" si="16"/>
        <v>-1.1511298007511573E-3</v>
      </c>
      <c r="Q98" s="4">
        <f t="shared" si="17"/>
        <v>-3.962106259909175</v>
      </c>
      <c r="R98" s="4">
        <f t="shared" si="22"/>
        <v>-2.528133657448309E-3</v>
      </c>
      <c r="S98" s="4">
        <f t="shared" si="18"/>
        <v>132.1360293292876</v>
      </c>
      <c r="T98" s="4">
        <f t="shared" si="19"/>
        <v>-2.2067133672049326E-3</v>
      </c>
      <c r="U98" s="4">
        <f t="shared" si="20"/>
        <v>64.618978203090791</v>
      </c>
    </row>
    <row r="99" spans="9:21">
      <c r="I99" s="4">
        <v>1271.06546</v>
      </c>
      <c r="J99" s="4" t="str">
        <f>IMDIV(J32,J63)</f>
        <v>0.999865188806063-0.0000598708202099452i</v>
      </c>
      <c r="K99" s="4" t="str">
        <f>IMDIV(K32,K63)</f>
        <v>-1.14680055200298-0.672709813856939i</v>
      </c>
      <c r="L99" s="4" t="str">
        <f>IMDIV(L32,L63)</f>
        <v>0.999874370158014-0.0000528094744369557i</v>
      </c>
      <c r="M99" s="4" t="str">
        <f>IMDIV(M32,M63)</f>
        <v>0.00900576906225159-0.115211817870034i</v>
      </c>
      <c r="N99" s="4">
        <f t="shared" si="21"/>
        <v>-1.1710185169889519E-3</v>
      </c>
      <c r="O99" s="4">
        <f t="shared" si="15"/>
        <v>2.4740610501557705</v>
      </c>
      <c r="P99" s="4">
        <f t="shared" si="16"/>
        <v>-1.0912633777326111E-3</v>
      </c>
      <c r="Q99" s="4">
        <f t="shared" si="17"/>
        <v>-18.743604374933344</v>
      </c>
      <c r="R99" s="4">
        <f t="shared" si="22"/>
        <v>-3.4308078212151459E-3</v>
      </c>
      <c r="S99" s="4">
        <f t="shared" si="18"/>
        <v>-149.60424005283531</v>
      </c>
      <c r="T99" s="4">
        <f t="shared" si="19"/>
        <v>-3.026140174239994E-3</v>
      </c>
      <c r="U99" s="4">
        <f t="shared" si="20"/>
        <v>-85.530445714190037</v>
      </c>
    </row>
    <row r="100" spans="9:21">
      <c r="I100" s="4">
        <v>1600.019278</v>
      </c>
      <c r="J100" s="4" t="str">
        <f>IMDIV(J33,J64)</f>
        <v>0.999856769315902-0.0000765634419466034i</v>
      </c>
      <c r="K100" s="4" t="str">
        <f>IMDIV(K33,K64)</f>
        <v>0.856973533073068+0.747052353315737i</v>
      </c>
      <c r="L100" s="4" t="str">
        <f>IMDIV(L33,L64)</f>
        <v>0.999867792485655-0.0000682620823012735i</v>
      </c>
      <c r="M100" s="4" t="str">
        <f>IMDIV(M33,M64)</f>
        <v>0.547348050117526+0.0310092516072573i</v>
      </c>
      <c r="N100" s="4">
        <f t="shared" si="21"/>
        <v>-1.2441495535406384E-3</v>
      </c>
      <c r="O100" s="4">
        <f t="shared" si="15"/>
        <v>1.1142747892670199</v>
      </c>
      <c r="P100" s="4">
        <f t="shared" si="16"/>
        <v>-1.1483955529717942E-3</v>
      </c>
      <c r="Q100" s="4">
        <f t="shared" si="17"/>
        <v>-5.2208115561365274</v>
      </c>
      <c r="R100" s="4">
        <f t="shared" si="22"/>
        <v>-4.3873904889022656E-3</v>
      </c>
      <c r="S100" s="4">
        <f t="shared" si="18"/>
        <v>41.079746188860966</v>
      </c>
      <c r="T100" s="4">
        <f t="shared" si="19"/>
        <v>-3.9116463596033267E-3</v>
      </c>
      <c r="U100" s="4">
        <f t="shared" si="20"/>
        <v>3.24254748655179</v>
      </c>
    </row>
    <row r="101" spans="9:21">
      <c r="I101" s="4">
        <v>2014.3138919999999</v>
      </c>
      <c r="J101" s="4" t="str">
        <f>IMDIV(J34,J65)</f>
        <v>0.999868335238889-0.000087528756223352i</v>
      </c>
      <c r="K101" s="4" t="str">
        <f>IMDIV(K34,K65)</f>
        <v>1.10018023304069+0.388131300213762i</v>
      </c>
      <c r="L101" s="4" t="str">
        <f>IMDIV(L34,L65)</f>
        <v>0.999881163853038-0.000077063081353247i</v>
      </c>
      <c r="M101" s="4" t="str">
        <f>IMDIV(M34,M65)</f>
        <v>-0.197838720924812+0.262013525247772i</v>
      </c>
      <c r="N101" s="4">
        <f t="shared" si="21"/>
        <v>-1.1436675971426542E-3</v>
      </c>
      <c r="O101" s="4">
        <f t="shared" si="15"/>
        <v>1.3387167120786598</v>
      </c>
      <c r="P101" s="4">
        <f t="shared" si="16"/>
        <v>-1.032233195922425E-3</v>
      </c>
      <c r="Q101" s="4">
        <f t="shared" si="17"/>
        <v>-9.6741650420547654</v>
      </c>
      <c r="R101" s="4">
        <f t="shared" si="22"/>
        <v>-5.0156886942706895E-3</v>
      </c>
      <c r="S101" s="4">
        <f t="shared" si="18"/>
        <v>19.432272670255237</v>
      </c>
      <c r="T101" s="4">
        <f t="shared" si="19"/>
        <v>-4.4159140792862017E-3</v>
      </c>
      <c r="U101" s="4">
        <f t="shared" si="20"/>
        <v>127.05538245872529</v>
      </c>
    </row>
    <row r="102" spans="9:21">
      <c r="I102" s="4">
        <v>2536.1076779999999</v>
      </c>
      <c r="J102" s="4" t="str">
        <f>IMDIV(J35,J66)</f>
        <v>0.999857691066968-0.000109387919487617i</v>
      </c>
      <c r="K102" s="4" t="str">
        <f>IMDIV(K35,K66)</f>
        <v>0.306693905024399-0.252902734281646i</v>
      </c>
      <c r="L102" s="4" t="str">
        <f>IMDIV(L35,L66)</f>
        <v>0.999868424020532-0.0000968309852225643i</v>
      </c>
      <c r="M102" s="4" t="str">
        <f>IMDIV(M35,M66)</f>
        <v>0.293532851471857-0.298674905077673i</v>
      </c>
      <c r="N102" s="4">
        <f t="shared" si="21"/>
        <v>-1.2361156665220707E-3</v>
      </c>
      <c r="O102" s="4">
        <f t="shared" si="15"/>
        <v>-8.0128534704212591</v>
      </c>
      <c r="P102" s="4">
        <f t="shared" si="16"/>
        <v>-1.1428888981611788E-3</v>
      </c>
      <c r="Q102" s="4">
        <f t="shared" si="17"/>
        <v>-7.5604907190318311</v>
      </c>
      <c r="R102" s="4">
        <f t="shared" si="22"/>
        <v>-6.2683581347099592E-3</v>
      </c>
      <c r="S102" s="4">
        <f t="shared" si="18"/>
        <v>-39.509318772078942</v>
      </c>
      <c r="T102" s="4">
        <f t="shared" si="19"/>
        <v>-5.5487368424870604E-3</v>
      </c>
      <c r="U102" s="4">
        <f t="shared" si="20"/>
        <v>-45.497478398042183</v>
      </c>
    </row>
    <row r="103" spans="9:21">
      <c r="I103" s="4">
        <v>3192.5215979999998</v>
      </c>
      <c r="J103" s="4" t="str">
        <f>IMDIV(J36,J67)</f>
        <v>0.999873816451977-0.000115284158449535i</v>
      </c>
      <c r="K103" s="4" t="str">
        <f>IMDIV(K36,K67)</f>
        <v>-1.08674899157468+1.47219001848447i</v>
      </c>
      <c r="L103" s="4" t="str">
        <f>IMDIV(L36,L67)</f>
        <v>0.999883961837353-0.000100065347067376i</v>
      </c>
      <c r="M103" s="4" t="str">
        <f>IMDIV(M36,M67)</f>
        <v>1.18740016202776+2.16368478408872i</v>
      </c>
      <c r="N103" s="4">
        <f t="shared" si="21"/>
        <v>-1.0960277934979419E-3</v>
      </c>
      <c r="O103" s="4">
        <f t="shared" si="15"/>
        <v>5.2483302987750013</v>
      </c>
      <c r="P103" s="4">
        <f t="shared" si="16"/>
        <v>-1.0079096598832828E-3</v>
      </c>
      <c r="Q103" s="4">
        <f t="shared" si="17"/>
        <v>7.8472075433297945</v>
      </c>
      <c r="R103" s="4">
        <f t="shared" si="22"/>
        <v>-6.6061292794371736E-3</v>
      </c>
      <c r="S103" s="4">
        <f t="shared" si="18"/>
        <v>126.43419737673742</v>
      </c>
      <c r="T103" s="4">
        <f t="shared" si="19"/>
        <v>-5.7339874046950156E-3</v>
      </c>
      <c r="U103" s="4">
        <f t="shared" si="20"/>
        <v>61.242631409213438</v>
      </c>
    </row>
    <row r="104" spans="9:21">
      <c r="I104" s="4">
        <v>4019.4603149999998</v>
      </c>
      <c r="J104" s="4" t="str">
        <f>IMDIV(J37,J68)</f>
        <v>0.99987254801479-0.000129923593606289i</v>
      </c>
      <c r="K104" s="4" t="str">
        <f>IMDIV(K37,K68)</f>
        <v>0.17418922028964+0.247451708601555i</v>
      </c>
      <c r="L104" s="4" t="str">
        <f>IMDIV(L37,L68)</f>
        <v>0.999890702823637-0.000112950559907869i</v>
      </c>
      <c r="M104" s="4" t="str">
        <f>IMDIV(M37,M68)</f>
        <v>0.563809931973806+0.570064491912739i</v>
      </c>
      <c r="N104" s="4">
        <f t="shared" si="21"/>
        <v>-1.1070311023078756E-3</v>
      </c>
      <c r="O104" s="4">
        <f t="shared" si="15"/>
        <v>-10.3822671228723</v>
      </c>
      <c r="P104" s="4">
        <f t="shared" si="16"/>
        <v>-9.493396770265223E-4</v>
      </c>
      <c r="Q104" s="4">
        <f t="shared" si="17"/>
        <v>-1.9188686287158121</v>
      </c>
      <c r="R104" s="4">
        <f t="shared" si="22"/>
        <v>-7.4450224138034714E-3</v>
      </c>
      <c r="S104" s="4">
        <f t="shared" si="18"/>
        <v>54.857052770404792</v>
      </c>
      <c r="T104" s="4">
        <f t="shared" si="19"/>
        <v>-6.4722977527022453E-3</v>
      </c>
      <c r="U104" s="4">
        <f t="shared" si="20"/>
        <v>45.316045802856813</v>
      </c>
    </row>
    <row r="105" spans="9:21">
      <c r="I105" s="4">
        <v>5059.7908310000003</v>
      </c>
      <c r="J105" s="4" t="str">
        <f>IMDIV(J38,J69)</f>
        <v>0.999862915368008-0.000178332410205718i</v>
      </c>
      <c r="K105" s="4" t="str">
        <f>IMDIV(K38,K69)</f>
        <v>-0.756196780748331+0.0301330299567231i</v>
      </c>
      <c r="L105" s="4" t="str">
        <f>IMDIV(L38,L69)</f>
        <v>0.999884062640059-0.000158167949323925i</v>
      </c>
      <c r="M105" s="4" t="str">
        <f>IMDIV(M38,M69)</f>
        <v>-2.20680181357035+3.74745932656229i</v>
      </c>
      <c r="N105" s="4">
        <f t="shared" si="21"/>
        <v>-1.1906454513365772E-3</v>
      </c>
      <c r="O105" s="4">
        <f t="shared" si="15"/>
        <v>-2.4204129379586421</v>
      </c>
      <c r="P105" s="4">
        <f t="shared" si="16"/>
        <v>-1.0069688203748503E-3</v>
      </c>
      <c r="Q105" s="4">
        <f t="shared" si="17"/>
        <v>12.767701965103534</v>
      </c>
      <c r="R105" s="4">
        <f t="shared" si="22"/>
        <v>-1.0219095227746357E-2</v>
      </c>
      <c r="S105" s="4">
        <f t="shared" si="18"/>
        <v>177.71807744344252</v>
      </c>
      <c r="T105" s="4">
        <f t="shared" si="19"/>
        <v>-9.0634066623516748E-3</v>
      </c>
      <c r="U105" s="4">
        <f t="shared" si="20"/>
        <v>120.4929571474012</v>
      </c>
    </row>
    <row r="106" spans="9:21">
      <c r="I106" s="4">
        <v>6369.7354210000003</v>
      </c>
      <c r="J106" s="4" t="str">
        <f>IMDIV(J39,J70)</f>
        <v>0.999851361145337-0.000181262103943853i</v>
      </c>
      <c r="K106" s="4" t="str">
        <f>IMDIV(K39,K70)</f>
        <v>1.30740568459+0.84613395851928i</v>
      </c>
      <c r="L106" s="4" t="str">
        <f>IMDIV(L39,L70)</f>
        <v>0.999878251146311-0.000159060488463645i</v>
      </c>
      <c r="M106" s="4" t="str">
        <f>IMDIV(M39,M70)</f>
        <v>0.978818564381325-0.309232686041097i</v>
      </c>
      <c r="N106" s="4">
        <f t="shared" si="21"/>
        <v>-1.2910139139264969E-3</v>
      </c>
      <c r="O106" s="4">
        <f t="shared" si="15"/>
        <v>3.8475692509761434</v>
      </c>
      <c r="P106" s="4">
        <f t="shared" si="16"/>
        <v>-1.057451582159117E-3</v>
      </c>
      <c r="Q106" s="4">
        <f t="shared" si="17"/>
        <v>0.227213638163276</v>
      </c>
      <c r="R106" s="4">
        <f t="shared" si="22"/>
        <v>-1.0387097354122172E-2</v>
      </c>
      <c r="S106" s="4">
        <f t="shared" si="18"/>
        <v>32.91035731816735</v>
      </c>
      <c r="T106" s="4">
        <f t="shared" si="19"/>
        <v>-9.1146042920039784E-3</v>
      </c>
      <c r="U106" s="4">
        <f t="shared" si="20"/>
        <v>-17.532598766607091</v>
      </c>
    </row>
    <row r="107" spans="9:21">
      <c r="I107" s="4">
        <v>8019.2636849999999</v>
      </c>
      <c r="J107" s="4" t="str">
        <f>IMDIV(J40,J71)</f>
        <v>0.999834744047229-0.000266414695529749i</v>
      </c>
      <c r="K107" s="4" t="str">
        <f>IMDIV(K40,K71)</f>
        <v>0.887348806274034+0.405007523930006i</v>
      </c>
      <c r="L107" s="4" t="str">
        <f>IMDIV(L40,L71)</f>
        <v>0.999873107192835-0.000242424307009639i</v>
      </c>
      <c r="M107" s="4" t="str">
        <f>IMDIV(M40,M71)</f>
        <v>1.0961349929718-0.576338960723527i</v>
      </c>
      <c r="N107" s="4">
        <f t="shared" si="21"/>
        <v>-1.4352052344753607E-3</v>
      </c>
      <c r="O107" s="4">
        <f t="shared" si="15"/>
        <v>-0.21628180608483941</v>
      </c>
      <c r="P107" s="4">
        <f t="shared" si="16"/>
        <v>-1.1019915563080785E-3</v>
      </c>
      <c r="Q107" s="4">
        <f t="shared" si="17"/>
        <v>1.8573433521936678</v>
      </c>
      <c r="R107" s="4">
        <f t="shared" si="22"/>
        <v>-1.5266960248919671E-2</v>
      </c>
      <c r="S107" s="4">
        <f t="shared" si="18"/>
        <v>24.533106509482195</v>
      </c>
      <c r="T107" s="4">
        <f t="shared" si="19"/>
        <v>-1.3891652121600035E-2</v>
      </c>
      <c r="U107" s="4">
        <f t="shared" si="20"/>
        <v>-27.735032536970039</v>
      </c>
    </row>
    <row r="108" spans="9:21">
      <c r="I108" s="4">
        <v>10096.471541000001</v>
      </c>
      <c r="J108" s="4" t="str">
        <f>IMDIV(J41,J72)</f>
        <v>0.999844725317202-0.000346635695128587i</v>
      </c>
      <c r="K108" s="4" t="str">
        <f>IMDIV(K41,K72)</f>
        <v>2.11042304303399-1.23226127304343i</v>
      </c>
      <c r="L108" s="4" t="str">
        <f>IMDIV(L41,L72)</f>
        <v>0.999882553213432-0.000324579442078945i</v>
      </c>
      <c r="M108" s="4" t="str">
        <f>IMDIV(M41,M72)</f>
        <v>-2.02273065832211-0.433551872330256i</v>
      </c>
      <c r="N108" s="4">
        <f t="shared" si="21"/>
        <v>-1.3482814843306966E-3</v>
      </c>
      <c r="O108" s="4">
        <f t="shared" si="15"/>
        <v>7.7614548839795887</v>
      </c>
      <c r="P108" s="4">
        <f t="shared" si="16"/>
        <v>-1.0197320920681825E-3</v>
      </c>
      <c r="Q108" s="4">
        <f t="shared" si="17"/>
        <v>6.3138354626692017</v>
      </c>
      <c r="R108" s="4">
        <f t="shared" si="22"/>
        <v>-1.986384591611301E-2</v>
      </c>
      <c r="S108" s="4">
        <f t="shared" si="18"/>
        <v>-30.280357259480731</v>
      </c>
      <c r="T108" s="4">
        <f t="shared" si="19"/>
        <v>-1.8599215912745728E-2</v>
      </c>
      <c r="U108" s="4">
        <f t="shared" si="20"/>
        <v>-167.90227504141686</v>
      </c>
    </row>
    <row r="109" spans="9:21">
      <c r="I109" s="4">
        <v>12710.556156000001</v>
      </c>
      <c r="J109" s="4" t="str">
        <f>IMDIV(J42,J73)</f>
        <v>0.999826809207763-0.000464329337813341i</v>
      </c>
      <c r="K109" s="4" t="str">
        <f>IMDIV(K42,K73)</f>
        <v>-2.0398908668495+1.95609048068709i</v>
      </c>
      <c r="L109" s="4" t="str">
        <f>IMDIV(L42,L73)</f>
        <v>0.999872252709156-0.000444838922855464i</v>
      </c>
      <c r="M109" s="4" t="str">
        <f>IMDIV(M42,M73)</f>
        <v>-0.155509743809506+0.837345855711766i</v>
      </c>
      <c r="N109" s="4">
        <f t="shared" si="21"/>
        <v>-1.5035097188424136E-3</v>
      </c>
      <c r="O109" s="4">
        <f t="shared" si="15"/>
        <v>9.0240786533751169</v>
      </c>
      <c r="P109" s="4">
        <f t="shared" si="16"/>
        <v>-1.1088101413061517E-3</v>
      </c>
      <c r="Q109" s="4">
        <f t="shared" si="17"/>
        <v>-1.3946354373627847</v>
      </c>
      <c r="R109" s="4">
        <f t="shared" si="22"/>
        <v>-2.660871783310426E-2</v>
      </c>
      <c r="S109" s="4">
        <f t="shared" si="18"/>
        <v>136.20138317642079</v>
      </c>
      <c r="T109" s="4">
        <f t="shared" si="19"/>
        <v>-2.5490647522334531E-2</v>
      </c>
      <c r="U109" s="4">
        <f t="shared" si="20"/>
        <v>100.52096001385756</v>
      </c>
    </row>
    <row r="110" spans="9:21">
      <c r="I110" s="4">
        <v>16000.960204000001</v>
      </c>
      <c r="J110" s="4" t="str">
        <f>IMDIV(J43,J74)</f>
        <v>0.999838043007382-0.000477960443480944i</v>
      </c>
      <c r="K110" s="4" t="str">
        <f>IMDIV(K43,K74)</f>
        <v>2.63138465464156+0.909311802769427i</v>
      </c>
      <c r="L110" s="4" t="str">
        <f>IMDIV(L43,L74)</f>
        <v>0.999887790000413-0.000463399680672354i</v>
      </c>
      <c r="M110" s="4" t="str">
        <f>IMDIV(M43,M74)</f>
        <v>0.43686788781869-0.96097605047088i</v>
      </c>
      <c r="N110" s="4">
        <f t="shared" si="21"/>
        <v>-1.4058620415229855E-3</v>
      </c>
      <c r="O110" s="4">
        <f t="shared" si="15"/>
        <v>8.8935959460405467</v>
      </c>
      <c r="P110" s="4">
        <f t="shared" si="16"/>
        <v>-9.7376554916999954E-4</v>
      </c>
      <c r="Q110" s="4">
        <f t="shared" si="17"/>
        <v>0.47013246329529579</v>
      </c>
      <c r="R110" s="4">
        <f t="shared" si="22"/>
        <v>-2.738955002879391E-2</v>
      </c>
      <c r="S110" s="4">
        <f t="shared" si="18"/>
        <v>19.063306910155042</v>
      </c>
      <c r="T110" s="4">
        <f t="shared" si="19"/>
        <v>-2.6553823633845564E-2</v>
      </c>
      <c r="U110" s="4">
        <f t="shared" si="20"/>
        <v>-65.553051241406976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Request Frequencies</vt:lpstr>
      <vt:lpstr>Measured Response</vt:lpstr>
      <vt:lpstr>FlatSweepChart</vt:lpstr>
    </vt:vector>
  </TitlesOfParts>
  <Company>Crystal Lake Designs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Williamsen</dc:creator>
  <cp:lastModifiedBy>Mark Williamsen</cp:lastModifiedBy>
  <dcterms:created xsi:type="dcterms:W3CDTF">2026-06-06T07:51:58Z</dcterms:created>
  <dcterms:modified xsi:type="dcterms:W3CDTF">2026-06-06T10:04:14Z</dcterms:modified>
</cp:coreProperties>
</file>