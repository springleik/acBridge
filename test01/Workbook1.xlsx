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420" yWindow="340" windowWidth="32700" windowHeight="203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6" i="1" l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O35" i="1"/>
  <c r="N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35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10" i="1"/>
  <c r="B5" i="1"/>
</calcChain>
</file>

<file path=xl/sharedStrings.xml><?xml version="1.0" encoding="utf-8"?>
<sst xmlns="http://schemas.openxmlformats.org/spreadsheetml/2006/main" count="43" uniqueCount="8">
  <si>
    <t>Z1/Z2</t>
  </si>
  <si>
    <t>Em'/Em</t>
  </si>
  <si>
    <t>Ratios</t>
  </si>
  <si>
    <t>{</t>
  </si>
  <si>
    <t>}</t>
  </si>
  <si>
    <t>},</t>
  </si>
  <si>
    <t>[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</si>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</sst>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Sheet1!$N$35:$N$53</c:f>
              <c:numCache>
                <c:formatCode>General</c:formatCode>
                <c:ptCount val="19"/>
                <c:pt idx="0">
                  <c:v>0.999603439115619</c:v>
                </c:pt>
                <c:pt idx="1">
                  <c:v>0.999904457006555</c:v>
                </c:pt>
                <c:pt idx="2">
                  <c:v>0.999896588081713</c:v>
                </c:pt>
                <c:pt idx="3">
                  <c:v>0.99988462034673</c:v>
                </c:pt>
                <c:pt idx="4">
                  <c:v>0.999861977211066</c:v>
                </c:pt>
                <c:pt idx="5">
                  <c:v>0.999948790405525</c:v>
                </c:pt>
                <c:pt idx="6">
                  <c:v>1.000023644772117</c:v>
                </c:pt>
                <c:pt idx="7">
                  <c:v>1.00001637018542</c:v>
                </c:pt>
                <c:pt idx="8">
                  <c:v>1.000031421150677</c:v>
                </c:pt>
                <c:pt idx="9">
                  <c:v>1.00004757405608</c:v>
                </c:pt>
                <c:pt idx="10">
                  <c:v>1.000192678198935</c:v>
                </c:pt>
                <c:pt idx="11">
                  <c:v>1.00020584312963</c:v>
                </c:pt>
                <c:pt idx="12">
                  <c:v>1.000411745426298</c:v>
                </c:pt>
                <c:pt idx="13">
                  <c:v>1.000343503424448</c:v>
                </c:pt>
                <c:pt idx="14">
                  <c:v>1.000445495074348</c:v>
                </c:pt>
                <c:pt idx="15">
                  <c:v>1.000379979286517</c:v>
                </c:pt>
                <c:pt idx="16">
                  <c:v>1.000284940199419</c:v>
                </c:pt>
                <c:pt idx="17">
                  <c:v>1.000573769056845</c:v>
                </c:pt>
                <c:pt idx="18">
                  <c:v>1.0010539030373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44267144"/>
        <c:axId val="-2144270136"/>
      </c:lineChart>
      <c:lineChart>
        <c:grouping val="standard"/>
        <c:varyColors val="0"/>
        <c:ser>
          <c:idx val="1"/>
          <c:order val="1"/>
          <c:val>
            <c:numRef>
              <c:f>Sheet1!$O$35:$O$53</c:f>
              <c:numCache>
                <c:formatCode>General</c:formatCode>
                <c:ptCount val="19"/>
                <c:pt idx="0">
                  <c:v>1.00009975652909</c:v>
                </c:pt>
                <c:pt idx="1">
                  <c:v>1.00011959614056</c:v>
                </c:pt>
                <c:pt idx="2">
                  <c:v>1.00012218539409</c:v>
                </c:pt>
                <c:pt idx="3">
                  <c:v>1.000128721763145</c:v>
                </c:pt>
                <c:pt idx="4">
                  <c:v>1.000120233206944</c:v>
                </c:pt>
                <c:pt idx="5">
                  <c:v>1.000101861536143</c:v>
                </c:pt>
                <c:pt idx="6">
                  <c:v>1.000089826425973</c:v>
                </c:pt>
                <c:pt idx="7">
                  <c:v>1.000074886028621</c:v>
                </c:pt>
                <c:pt idx="8">
                  <c:v>1.000063372845895</c:v>
                </c:pt>
                <c:pt idx="9">
                  <c:v>1.0000475636492</c:v>
                </c:pt>
                <c:pt idx="10">
                  <c:v>0.9999857048175</c:v>
                </c:pt>
                <c:pt idx="11">
                  <c:v>0.999974360956627</c:v>
                </c:pt>
                <c:pt idx="12">
                  <c:v>0.999990832450505</c:v>
                </c:pt>
                <c:pt idx="13">
                  <c:v>0.999967085996272</c:v>
                </c:pt>
                <c:pt idx="14">
                  <c:v>1.000020469365702</c:v>
                </c:pt>
                <c:pt idx="15">
                  <c:v>0.999993492534706</c:v>
                </c:pt>
                <c:pt idx="16">
                  <c:v>1.00000432382304</c:v>
                </c:pt>
                <c:pt idx="17">
                  <c:v>1.000019727538962</c:v>
                </c:pt>
                <c:pt idx="18">
                  <c:v>0.999996292596251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8703624"/>
        <c:axId val="-2138700136"/>
      </c:lineChart>
      <c:catAx>
        <c:axId val="-214426714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44270136"/>
        <c:crosses val="autoZero"/>
        <c:auto val="1"/>
        <c:lblAlgn val="ctr"/>
        <c:lblOffset val="100"/>
        <c:noMultiLvlLbl val="0"/>
      </c:catAx>
      <c:valAx>
        <c:axId val="-2144270136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-2144267144"/>
        <c:crosses val="autoZero"/>
        <c:crossBetween val="between"/>
      </c:valAx>
      <c:valAx>
        <c:axId val="-21387001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2138703624"/>
        <c:crosses val="max"/>
        <c:crossBetween val="between"/>
      </c:valAx>
      <c:catAx>
        <c:axId val="-2138703624"/>
        <c:scaling>
          <c:orientation val="minMax"/>
        </c:scaling>
        <c:delete val="1"/>
        <c:axPos val="b"/>
        <c:majorTickMark val="out"/>
        <c:minorTickMark val="none"/>
        <c:tickLblPos val="nextTo"/>
        <c:crossAx val="-2138700136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Sheet1!$D$35:$D$53</c:f>
              <c:numCache>
                <c:formatCode>General</c:formatCode>
                <c:ptCount val="19"/>
                <c:pt idx="0">
                  <c:v>6.92165517216682E6</c:v>
                </c:pt>
                <c:pt idx="1">
                  <c:v>6.92173216988697E6</c:v>
                </c:pt>
                <c:pt idx="2">
                  <c:v>6.92158034926601E6</c:v>
                </c:pt>
                <c:pt idx="3">
                  <c:v>6.92146128716251E6</c:v>
                </c:pt>
                <c:pt idx="4">
                  <c:v>6.92153623075208E6</c:v>
                </c:pt>
                <c:pt idx="5">
                  <c:v>6.92236994106745E6</c:v>
                </c:pt>
                <c:pt idx="6">
                  <c:v>6.92296915728114E6</c:v>
                </c:pt>
                <c:pt idx="7">
                  <c:v>6.92282393893106E6</c:v>
                </c:pt>
                <c:pt idx="8">
                  <c:v>6.92357148835176E6</c:v>
                </c:pt>
                <c:pt idx="9">
                  <c:v>6.92325126228331E6</c:v>
                </c:pt>
                <c:pt idx="10">
                  <c:v>6.9232209739067E6</c:v>
                </c:pt>
                <c:pt idx="11">
                  <c:v>6.92310200717597E6</c:v>
                </c:pt>
                <c:pt idx="12">
                  <c:v>6.92326253340297E6</c:v>
                </c:pt>
                <c:pt idx="13">
                  <c:v>6.92353219323431E6</c:v>
                </c:pt>
                <c:pt idx="14">
                  <c:v>6.92321263068698E6</c:v>
                </c:pt>
                <c:pt idx="15">
                  <c:v>6.92281189681531E6</c:v>
                </c:pt>
                <c:pt idx="16">
                  <c:v>6.92280043032583E6</c:v>
                </c:pt>
                <c:pt idx="17">
                  <c:v>6.92282544137954E6</c:v>
                </c:pt>
                <c:pt idx="18">
                  <c:v>6.92265235230494E6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4832872"/>
        <c:axId val="-2134831464"/>
      </c:lineChart>
      <c:catAx>
        <c:axId val="-213483287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4831464"/>
        <c:crosses val="autoZero"/>
        <c:auto val="1"/>
        <c:lblAlgn val="ctr"/>
        <c:lblOffset val="100"/>
        <c:noMultiLvlLbl val="0"/>
      </c:catAx>
      <c:valAx>
        <c:axId val="-2134831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4832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876300</xdr:colOff>
      <xdr:row>6</xdr:row>
      <xdr:rowOff>152400</xdr:rowOff>
    </xdr:from>
    <xdr:to>
      <xdr:col>14</xdr:col>
      <xdr:colOff>533400</xdr:colOff>
      <xdr:row>30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234950</xdr:colOff>
      <xdr:row>11</xdr:row>
      <xdr:rowOff>6350</xdr:rowOff>
    </xdr:from>
    <xdr:to>
      <xdr:col>5</xdr:col>
      <xdr:colOff>539750</xdr:colOff>
      <xdr:row>25</xdr:row>
      <xdr:rowOff>82550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3"/>
  <sheetViews>
    <sheetView tabSelected="1" topLeftCell="A4" workbookViewId="0">
      <selection activeCell="P16" sqref="P16"/>
    </sheetView>
  </sheetViews>
  <sheetFormatPr baseColWidth="10" defaultRowHeight="15" x14ac:dyDescent="0"/>
  <cols>
    <col min="1" max="1" width="10.83203125" style="2"/>
    <col min="2" max="2" width="13.83203125" style="2" customWidth="1"/>
    <col min="3" max="3" width="12.1640625" style="2" customWidth="1"/>
    <col min="4" max="4" width="14.6640625" style="2" customWidth="1"/>
    <col min="5" max="6" width="15.33203125" style="2" customWidth="1"/>
    <col min="7" max="7" width="28.5" style="2" customWidth="1"/>
    <col min="8" max="8" width="18.5" style="2" customWidth="1"/>
    <col min="9" max="11" width="15.83203125" style="2" customWidth="1"/>
    <col min="12" max="12" width="6.1640625" style="2" customWidth="1"/>
    <col min="13" max="15" width="17.5" style="2" customWidth="1"/>
    <col min="16" max="16384" width="10.83203125" style="2"/>
  </cols>
  <sheetData>
    <row r="3" spans="2:8">
      <c r="B3" s="2">
        <v>9</v>
      </c>
    </row>
    <row r="4" spans="2:8">
      <c r="B4" s="2">
        <v>11</v>
      </c>
    </row>
    <row r="5" spans="2:8">
      <c r="B5" s="2">
        <f>B3/B4</f>
        <v>0.81818181818181823</v>
      </c>
    </row>
    <row r="8" spans="2:8">
      <c r="D8" s="2" t="s">
        <v>2</v>
      </c>
    </row>
    <row r="9" spans="2:8">
      <c r="D9" s="2" t="s">
        <v>0</v>
      </c>
      <c r="E9" s="2" t="s">
        <v>1</v>
      </c>
      <c r="H9" s="2" t="s">
        <v>6</v>
      </c>
    </row>
    <row r="10" spans="2:8">
      <c r="D10" s="2">
        <v>0.1</v>
      </c>
      <c r="E10" s="2">
        <f>(D10-1)/(D10+1)</f>
        <v>-0.81818181818181812</v>
      </c>
      <c r="F10" s="2" t="s">
        <v>3</v>
      </c>
      <c r="G10" s="2" t="str">
        <f>CONCATENATE("""amplX"":",E10,)</f>
        <v>"amplX":-0.818181818181818</v>
      </c>
      <c r="H10" s="2" t="s">
        <v>5</v>
      </c>
    </row>
    <row r="11" spans="2:8">
      <c r="D11" s="2">
        <v>0.2</v>
      </c>
      <c r="E11" s="2">
        <f t="shared" ref="E11:E28" si="0">(D11-1)/(D11+1)</f>
        <v>-0.66666666666666674</v>
      </c>
      <c r="F11" s="2" t="s">
        <v>3</v>
      </c>
      <c r="G11" s="2" t="str">
        <f t="shared" ref="G11:G28" si="1">CONCATENATE("""amplX"":",E11,)</f>
        <v>"amplX":-0.666666666666667</v>
      </c>
      <c r="H11" s="2" t="s">
        <v>5</v>
      </c>
    </row>
    <row r="12" spans="2:8">
      <c r="D12" s="2">
        <v>0.3</v>
      </c>
      <c r="E12" s="2">
        <f t="shared" si="0"/>
        <v>-0.53846153846153844</v>
      </c>
      <c r="F12" s="2" t="s">
        <v>3</v>
      </c>
      <c r="G12" s="2" t="str">
        <f t="shared" si="1"/>
        <v>"amplX":-0.538461538461538</v>
      </c>
      <c r="H12" s="2" t="s">
        <v>5</v>
      </c>
    </row>
    <row r="13" spans="2:8">
      <c r="D13" s="2">
        <v>0.4</v>
      </c>
      <c r="E13" s="2">
        <f t="shared" si="0"/>
        <v>-0.4285714285714286</v>
      </c>
      <c r="F13" s="2" t="s">
        <v>3</v>
      </c>
      <c r="G13" s="2" t="str">
        <f t="shared" si="1"/>
        <v>"amplX":-0.428571428571429</v>
      </c>
      <c r="H13" s="2" t="s">
        <v>5</v>
      </c>
    </row>
    <row r="14" spans="2:8">
      <c r="D14" s="2">
        <v>0.5</v>
      </c>
      <c r="E14" s="2">
        <f t="shared" si="0"/>
        <v>-0.33333333333333331</v>
      </c>
      <c r="F14" s="2" t="s">
        <v>3</v>
      </c>
      <c r="G14" s="2" t="str">
        <f t="shared" si="1"/>
        <v>"amplX":-0.333333333333333</v>
      </c>
      <c r="H14" s="2" t="s">
        <v>5</v>
      </c>
    </row>
    <row r="15" spans="2:8">
      <c r="D15" s="2">
        <v>0.6</v>
      </c>
      <c r="E15" s="2">
        <f t="shared" si="0"/>
        <v>-0.25</v>
      </c>
      <c r="F15" s="2" t="s">
        <v>3</v>
      </c>
      <c r="G15" s="2" t="str">
        <f t="shared" si="1"/>
        <v>"amplX":-0.25</v>
      </c>
      <c r="H15" s="2" t="s">
        <v>5</v>
      </c>
    </row>
    <row r="16" spans="2:8">
      <c r="D16" s="2">
        <v>0.7</v>
      </c>
      <c r="E16" s="2">
        <f t="shared" si="0"/>
        <v>-0.17647058823529416</v>
      </c>
      <c r="F16" s="2" t="s">
        <v>3</v>
      </c>
      <c r="G16" s="2" t="str">
        <f t="shared" si="1"/>
        <v>"amplX":-0.176470588235294</v>
      </c>
      <c r="H16" s="2" t="s">
        <v>5</v>
      </c>
    </row>
    <row r="17" spans="4:8">
      <c r="D17" s="2">
        <v>0.8</v>
      </c>
      <c r="E17" s="2">
        <f t="shared" si="0"/>
        <v>-0.11111111111111108</v>
      </c>
      <c r="F17" s="2" t="s">
        <v>3</v>
      </c>
      <c r="G17" s="2" t="str">
        <f t="shared" si="1"/>
        <v>"amplX":-0.111111111111111</v>
      </c>
      <c r="H17" s="2" t="s">
        <v>5</v>
      </c>
    </row>
    <row r="18" spans="4:8">
      <c r="D18" s="2">
        <v>0.9</v>
      </c>
      <c r="E18" s="2">
        <f t="shared" si="0"/>
        <v>-5.2631578947368411E-2</v>
      </c>
      <c r="F18" s="2" t="s">
        <v>3</v>
      </c>
      <c r="G18" s="2" t="str">
        <f t="shared" si="1"/>
        <v>"amplX":-0.0526315789473684</v>
      </c>
      <c r="H18" s="2" t="s">
        <v>5</v>
      </c>
    </row>
    <row r="19" spans="4:8">
      <c r="D19" s="2">
        <v>1</v>
      </c>
      <c r="E19" s="2">
        <f t="shared" si="0"/>
        <v>0</v>
      </c>
      <c r="F19" s="2" t="s">
        <v>3</v>
      </c>
      <c r="G19" s="2" t="str">
        <f t="shared" si="1"/>
        <v>"amplX":0</v>
      </c>
      <c r="H19" s="2" t="s">
        <v>5</v>
      </c>
    </row>
    <row r="20" spans="4:8">
      <c r="D20" s="2">
        <v>2</v>
      </c>
      <c r="E20" s="2">
        <f t="shared" si="0"/>
        <v>0.33333333333333331</v>
      </c>
      <c r="F20" s="2" t="s">
        <v>3</v>
      </c>
      <c r="G20" s="2" t="str">
        <f t="shared" si="1"/>
        <v>"amplX":0.333333333333333</v>
      </c>
      <c r="H20" s="2" t="s">
        <v>5</v>
      </c>
    </row>
    <row r="21" spans="4:8">
      <c r="D21" s="2">
        <v>3</v>
      </c>
      <c r="E21" s="2">
        <f t="shared" si="0"/>
        <v>0.5</v>
      </c>
      <c r="F21" s="2" t="s">
        <v>3</v>
      </c>
      <c r="G21" s="2" t="str">
        <f t="shared" si="1"/>
        <v>"amplX":0.5</v>
      </c>
      <c r="H21" s="2" t="s">
        <v>5</v>
      </c>
    </row>
    <row r="22" spans="4:8">
      <c r="D22" s="2">
        <v>4</v>
      </c>
      <c r="E22" s="2">
        <f t="shared" si="0"/>
        <v>0.6</v>
      </c>
      <c r="F22" s="2" t="s">
        <v>3</v>
      </c>
      <c r="G22" s="2" t="str">
        <f t="shared" si="1"/>
        <v>"amplX":0.6</v>
      </c>
      <c r="H22" s="2" t="s">
        <v>5</v>
      </c>
    </row>
    <row r="23" spans="4:8">
      <c r="D23" s="2">
        <v>5</v>
      </c>
      <c r="E23" s="2">
        <f t="shared" si="0"/>
        <v>0.66666666666666663</v>
      </c>
      <c r="F23" s="2" t="s">
        <v>3</v>
      </c>
      <c r="G23" s="2" t="str">
        <f t="shared" si="1"/>
        <v>"amplX":0.666666666666667</v>
      </c>
      <c r="H23" s="2" t="s">
        <v>5</v>
      </c>
    </row>
    <row r="24" spans="4:8">
      <c r="D24" s="2">
        <v>6</v>
      </c>
      <c r="E24" s="2">
        <f t="shared" si="0"/>
        <v>0.7142857142857143</v>
      </c>
      <c r="F24" s="2" t="s">
        <v>3</v>
      </c>
      <c r="G24" s="2" t="str">
        <f t="shared" si="1"/>
        <v>"amplX":0.714285714285714</v>
      </c>
      <c r="H24" s="2" t="s">
        <v>5</v>
      </c>
    </row>
    <row r="25" spans="4:8">
      <c r="D25" s="2">
        <v>7</v>
      </c>
      <c r="E25" s="2">
        <f t="shared" si="0"/>
        <v>0.75</v>
      </c>
      <c r="F25" s="2" t="s">
        <v>3</v>
      </c>
      <c r="G25" s="2" t="str">
        <f t="shared" si="1"/>
        <v>"amplX":0.75</v>
      </c>
      <c r="H25" s="2" t="s">
        <v>5</v>
      </c>
    </row>
    <row r="26" spans="4:8">
      <c r="D26" s="2">
        <v>8</v>
      </c>
      <c r="E26" s="2">
        <f t="shared" si="0"/>
        <v>0.77777777777777779</v>
      </c>
      <c r="F26" s="2" t="s">
        <v>3</v>
      </c>
      <c r="G26" s="2" t="str">
        <f t="shared" si="1"/>
        <v>"amplX":0.777777777777778</v>
      </c>
      <c r="H26" s="2" t="s">
        <v>5</v>
      </c>
    </row>
    <row r="27" spans="4:8">
      <c r="D27" s="2">
        <v>9</v>
      </c>
      <c r="E27" s="2">
        <f t="shared" si="0"/>
        <v>0.8</v>
      </c>
      <c r="F27" s="2" t="s">
        <v>3</v>
      </c>
      <c r="G27" s="2" t="str">
        <f t="shared" si="1"/>
        <v>"amplX":0.8</v>
      </c>
      <c r="H27" s="2" t="s">
        <v>5</v>
      </c>
    </row>
    <row r="28" spans="4:8">
      <c r="D28" s="2">
        <v>10</v>
      </c>
      <c r="E28" s="2">
        <f t="shared" si="0"/>
        <v>0.81818181818181823</v>
      </c>
      <c r="F28" s="2" t="s">
        <v>3</v>
      </c>
      <c r="G28" s="2" t="str">
        <f t="shared" si="1"/>
        <v>"amplX":0.818181818181818</v>
      </c>
      <c r="H28" s="2" t="s">
        <v>4</v>
      </c>
    </row>
    <row r="29" spans="4:8">
      <c r="H29" s="2" t="s">
        <v>7</v>
      </c>
    </row>
    <row r="35" spans="2:15">
      <c r="B35" s="2">
        <v>7000000</v>
      </c>
      <c r="C35" s="2">
        <v>159.18338600000001</v>
      </c>
      <c r="D35" s="2">
        <v>6921655.1721668197</v>
      </c>
      <c r="E35" s="2">
        <v>1.06135571829219</v>
      </c>
      <c r="F35" s="2">
        <v>5663626.12590425</v>
      </c>
      <c r="G35" s="2">
        <v>-2.08023120697966</v>
      </c>
      <c r="H35" s="2">
        <v>9.9960343911561902E-2</v>
      </c>
      <c r="I35" s="1">
        <v>-2.8366649999033001E-5</v>
      </c>
      <c r="J35" s="2">
        <v>0.10000997565290901</v>
      </c>
      <c r="K35" s="1">
        <v>-8.8853735289565096E-6</v>
      </c>
      <c r="M35" s="2">
        <f>D10</f>
        <v>0.1</v>
      </c>
      <c r="N35" s="2">
        <f>H35/M35</f>
        <v>0.999603439115619</v>
      </c>
      <c r="O35" s="2">
        <f>J35/M35</f>
        <v>1.0000997565290899</v>
      </c>
    </row>
    <row r="36" spans="2:15">
      <c r="B36" s="2">
        <v>7000000</v>
      </c>
      <c r="C36" s="2">
        <v>159.18338600000001</v>
      </c>
      <c r="D36" s="2">
        <v>6921732.16988697</v>
      </c>
      <c r="E36" s="2">
        <v>1.0613542394747699</v>
      </c>
      <c r="F36" s="2">
        <v>4614671.8170203697</v>
      </c>
      <c r="G36" s="2">
        <v>-2.0802387404424501</v>
      </c>
      <c r="H36" s="2">
        <v>0.19998089140131101</v>
      </c>
      <c r="I36" s="1">
        <v>7.8326692562542802E-7</v>
      </c>
      <c r="J36" s="2">
        <v>0.200023919228112</v>
      </c>
      <c r="K36" s="1">
        <v>-2.7273287818151898E-6</v>
      </c>
      <c r="M36" s="2">
        <f t="shared" ref="M36:M53" si="2">D11</f>
        <v>0.2</v>
      </c>
      <c r="N36" s="2">
        <f t="shared" ref="N36:N53" si="3">H36/M36</f>
        <v>0.99990445700655495</v>
      </c>
      <c r="O36" s="2">
        <f t="shared" ref="O36:O53" si="4">J36/M36</f>
        <v>1.00011959614056</v>
      </c>
    </row>
    <row r="37" spans="2:15">
      <c r="B37" s="2">
        <v>7000000</v>
      </c>
      <c r="C37" s="2">
        <v>159.18338600000001</v>
      </c>
      <c r="D37" s="2">
        <v>6921580.3492660103</v>
      </c>
      <c r="E37" s="2">
        <v>1.06136076371495</v>
      </c>
      <c r="F37" s="2">
        <v>3727258.9307143702</v>
      </c>
      <c r="G37" s="2">
        <v>-2.08024109840404</v>
      </c>
      <c r="H37" s="2">
        <v>0.29996897642451398</v>
      </c>
      <c r="I37" s="1">
        <v>1.3967999416166099E-5</v>
      </c>
      <c r="J37" s="2">
        <v>0.30003665561822701</v>
      </c>
      <c r="K37" s="1">
        <v>-3.4490856406224101E-6</v>
      </c>
      <c r="M37" s="2">
        <f t="shared" si="2"/>
        <v>0.3</v>
      </c>
      <c r="N37" s="2">
        <f t="shared" si="3"/>
        <v>0.99989658808171333</v>
      </c>
      <c r="O37" s="2">
        <f t="shared" si="4"/>
        <v>1.00012218539409</v>
      </c>
    </row>
    <row r="38" spans="2:15">
      <c r="B38" s="2">
        <v>7000000</v>
      </c>
      <c r="C38" s="2">
        <v>159.18338600000001</v>
      </c>
      <c r="D38" s="2">
        <v>6921461.2871625097</v>
      </c>
      <c r="E38" s="2">
        <v>1.0613598039682499</v>
      </c>
      <c r="F38" s="2">
        <v>2966666.5198611799</v>
      </c>
      <c r="G38" s="2">
        <v>-2.08023413907428</v>
      </c>
      <c r="H38" s="2">
        <v>0.399953848138692</v>
      </c>
      <c r="I38" s="1">
        <v>1.3541411342322101E-6</v>
      </c>
      <c r="J38" s="2">
        <v>0.40005148870525797</v>
      </c>
      <c r="K38" s="1">
        <v>-4.1733691008405496E-6</v>
      </c>
      <c r="M38" s="2">
        <f t="shared" si="2"/>
        <v>0.4</v>
      </c>
      <c r="N38" s="2">
        <f t="shared" si="3"/>
        <v>0.99988462034672998</v>
      </c>
      <c r="O38" s="2">
        <f t="shared" si="4"/>
        <v>1.0001287217631449</v>
      </c>
    </row>
    <row r="39" spans="2:15">
      <c r="B39" s="2">
        <v>7000000</v>
      </c>
      <c r="C39" s="2">
        <v>159.18338600000001</v>
      </c>
      <c r="D39" s="2">
        <v>6921536.2307520797</v>
      </c>
      <c r="E39" s="2">
        <v>1.06136130652762</v>
      </c>
      <c r="F39" s="2">
        <v>2307603.3541170801</v>
      </c>
      <c r="G39" s="2">
        <v>-2.0802295356776601</v>
      </c>
      <c r="H39" s="2">
        <v>0.49993098860553298</v>
      </c>
      <c r="I39" s="1">
        <v>-1.3588509266245501E-6</v>
      </c>
      <c r="J39" s="2">
        <v>0.50006011660347205</v>
      </c>
      <c r="K39" s="1">
        <v>-5.7118948796869997E-6</v>
      </c>
      <c r="M39" s="2">
        <f t="shared" si="2"/>
        <v>0.5</v>
      </c>
      <c r="N39" s="2">
        <f t="shared" si="3"/>
        <v>0.99986197721106596</v>
      </c>
      <c r="O39" s="2">
        <f t="shared" si="4"/>
        <v>1.0001202332069441</v>
      </c>
    </row>
    <row r="40" spans="2:15">
      <c r="B40" s="2">
        <v>7000000</v>
      </c>
      <c r="C40" s="2">
        <v>159.18338600000001</v>
      </c>
      <c r="D40" s="2">
        <v>6922369.9410674497</v>
      </c>
      <c r="E40" s="2">
        <v>1.0613575139623701</v>
      </c>
      <c r="F40" s="2">
        <v>1730758.6566081</v>
      </c>
      <c r="G40" s="2">
        <v>-2.0802232416252102</v>
      </c>
      <c r="H40" s="2">
        <v>0.59996927424331503</v>
      </c>
      <c r="I40" s="1">
        <v>-6.3462917298086603E-6</v>
      </c>
      <c r="J40" s="2">
        <v>0.60006111692168596</v>
      </c>
      <c r="K40" s="1">
        <v>-5.7805481697915901E-6</v>
      </c>
      <c r="M40" s="2">
        <f t="shared" si="2"/>
        <v>0.6</v>
      </c>
      <c r="N40" s="2">
        <f t="shared" si="3"/>
        <v>0.99994879040552509</v>
      </c>
      <c r="O40" s="2">
        <f t="shared" si="4"/>
        <v>1.0001018615361432</v>
      </c>
    </row>
    <row r="41" spans="2:15">
      <c r="B41" s="2">
        <v>7000000</v>
      </c>
      <c r="C41" s="2">
        <v>159.18338600000001</v>
      </c>
      <c r="D41" s="2">
        <v>6922969.1572811399</v>
      </c>
      <c r="E41" s="2">
        <v>1.0613576865587899</v>
      </c>
      <c r="F41" s="2">
        <v>1221621.14328682</v>
      </c>
      <c r="G41" s="2">
        <v>-2.0802187563369898</v>
      </c>
      <c r="H41" s="2">
        <v>0.70001655134048202</v>
      </c>
      <c r="I41" s="1">
        <v>-5.9049163130999298E-6</v>
      </c>
      <c r="J41" s="2">
        <v>0.70006287849818105</v>
      </c>
      <c r="K41" s="1">
        <v>-6.9705211819185497E-6</v>
      </c>
      <c r="M41" s="2">
        <f t="shared" si="2"/>
        <v>0.7</v>
      </c>
      <c r="N41" s="2">
        <f t="shared" si="3"/>
        <v>1.0000236447721171</v>
      </c>
      <c r="O41" s="2">
        <f t="shared" si="4"/>
        <v>1.000089826425973</v>
      </c>
    </row>
    <row r="42" spans="2:15">
      <c r="B42" s="2">
        <v>7000000</v>
      </c>
      <c r="C42" s="2">
        <v>159.18338600000001</v>
      </c>
      <c r="D42" s="2">
        <v>6922823.93893106</v>
      </c>
      <c r="E42" s="2">
        <v>1.06135545452927</v>
      </c>
      <c r="F42" s="2">
        <v>769146.69638493401</v>
      </c>
      <c r="G42" s="2">
        <v>-2.0802016809262298</v>
      </c>
      <c r="H42" s="2">
        <v>0.80001309614833604</v>
      </c>
      <c r="I42" s="1">
        <v>-7.9909842489017308E-6</v>
      </c>
      <c r="J42" s="2">
        <v>0.80005990882289701</v>
      </c>
      <c r="K42" s="1">
        <v>-7.4184822117722401E-6</v>
      </c>
      <c r="M42" s="2">
        <f t="shared" si="2"/>
        <v>0.8</v>
      </c>
      <c r="N42" s="2">
        <f t="shared" si="3"/>
        <v>1.0000163701854199</v>
      </c>
      <c r="O42" s="2">
        <f t="shared" si="4"/>
        <v>1.0000748860286213</v>
      </c>
    </row>
    <row r="43" spans="2:15">
      <c r="B43" s="2">
        <v>7000000</v>
      </c>
      <c r="C43" s="2">
        <v>159.18338600000001</v>
      </c>
      <c r="D43" s="2">
        <v>6923571.4883517604</v>
      </c>
      <c r="E43" s="2">
        <v>1.06135947023525</v>
      </c>
      <c r="F43" s="2">
        <v>364290.029919672</v>
      </c>
      <c r="G43" s="2">
        <v>-2.08016313445337</v>
      </c>
      <c r="H43" s="2">
        <v>0.900028279035609</v>
      </c>
      <c r="I43" s="1">
        <v>-7.3918374840137204E-6</v>
      </c>
      <c r="J43" s="2">
        <v>0.90005703556130501</v>
      </c>
      <c r="K43" s="1">
        <v>-7.7944111904387101E-6</v>
      </c>
      <c r="M43" s="2">
        <f t="shared" si="2"/>
        <v>0.9</v>
      </c>
      <c r="N43" s="2">
        <f t="shared" si="3"/>
        <v>1.0000314211506767</v>
      </c>
      <c r="O43" s="2">
        <f t="shared" si="4"/>
        <v>1.0000633728458945</v>
      </c>
    </row>
    <row r="44" spans="2:15">
      <c r="B44" s="2">
        <v>7000000</v>
      </c>
      <c r="C44" s="2">
        <v>159.18338600000001</v>
      </c>
      <c r="D44" s="2">
        <v>6923251.2622833103</v>
      </c>
      <c r="E44" s="2">
        <v>1.06135750120535</v>
      </c>
      <c r="F44" s="2">
        <v>172.81779099736201</v>
      </c>
      <c r="G44" s="2">
        <v>1.3694651180109501</v>
      </c>
      <c r="H44" s="2">
        <v>1.0000475740560799</v>
      </c>
      <c r="I44" s="1">
        <v>1.51397124652932E-5</v>
      </c>
      <c r="J44" s="2">
        <v>1.0000475636492001</v>
      </c>
      <c r="K44" s="1">
        <v>1.51365974054739E-5</v>
      </c>
      <c r="M44" s="2">
        <f t="shared" si="2"/>
        <v>1</v>
      </c>
      <c r="N44" s="2">
        <f t="shared" si="3"/>
        <v>1.0000475740560799</v>
      </c>
      <c r="O44" s="2">
        <f t="shared" si="4"/>
        <v>1.0000475636492001</v>
      </c>
    </row>
    <row r="45" spans="2:15">
      <c r="B45" s="2">
        <v>7000000</v>
      </c>
      <c r="C45" s="2">
        <v>159.18338600000001</v>
      </c>
      <c r="D45" s="2">
        <v>6923220.9739066903</v>
      </c>
      <c r="E45" s="2">
        <v>1.06135560065495</v>
      </c>
      <c r="F45" s="2">
        <v>2308333.1170125399</v>
      </c>
      <c r="G45" s="2">
        <v>1.06136707320968</v>
      </c>
      <c r="H45" s="2">
        <v>2.00038535639787</v>
      </c>
      <c r="I45" s="1">
        <v>8.60717907863374E-6</v>
      </c>
      <c r="J45" s="2">
        <v>1.9999714096350001</v>
      </c>
      <c r="K45" s="1">
        <v>6.9517847494270102E-6</v>
      </c>
      <c r="M45" s="2">
        <f t="shared" si="2"/>
        <v>2</v>
      </c>
      <c r="N45" s="2">
        <f t="shared" si="3"/>
        <v>1.000192678198935</v>
      </c>
      <c r="O45" s="2">
        <f t="shared" si="4"/>
        <v>0.99998570481750004</v>
      </c>
    </row>
    <row r="46" spans="2:15">
      <c r="B46" s="2">
        <v>7000000</v>
      </c>
      <c r="C46" s="2">
        <v>159.18338600000001</v>
      </c>
      <c r="D46" s="2">
        <v>6923102.0071759699</v>
      </c>
      <c r="E46" s="2">
        <v>1.0613580024828599</v>
      </c>
      <c r="F46" s="2">
        <v>3462085.3234797199</v>
      </c>
      <c r="G46" s="2">
        <v>1.0613600691162599</v>
      </c>
      <c r="H46" s="2">
        <v>3.0006175293888901</v>
      </c>
      <c r="I46" s="1">
        <v>2.75622019687063E-6</v>
      </c>
      <c r="J46" s="2">
        <v>2.9999230828698802</v>
      </c>
      <c r="K46" s="1">
        <v>6.8328198588292502E-6</v>
      </c>
      <c r="M46" s="2">
        <f t="shared" si="2"/>
        <v>3</v>
      </c>
      <c r="N46" s="2">
        <f t="shared" si="3"/>
        <v>1.0002058431296301</v>
      </c>
      <c r="O46" s="2">
        <f t="shared" si="4"/>
        <v>0.99997436095662673</v>
      </c>
    </row>
    <row r="47" spans="2:15">
      <c r="B47" s="2">
        <v>7000000</v>
      </c>
      <c r="C47" s="2">
        <v>159.18338600000001</v>
      </c>
      <c r="D47" s="2">
        <v>6923262.5334029701</v>
      </c>
      <c r="E47" s="2">
        <v>1.06135922127372</v>
      </c>
      <c r="F47" s="2">
        <v>4154869.4186048801</v>
      </c>
      <c r="G47" s="2">
        <v>1.0613595687756501</v>
      </c>
      <c r="H47" s="2">
        <v>4.0016469817051901</v>
      </c>
      <c r="I47" s="1">
        <v>6.5187016229608103E-7</v>
      </c>
      <c r="J47" s="2">
        <v>3.9999633298020201</v>
      </c>
      <c r="K47" s="1">
        <v>5.91616593200624E-6</v>
      </c>
      <c r="M47" s="2">
        <f t="shared" si="2"/>
        <v>4</v>
      </c>
      <c r="N47" s="2">
        <f t="shared" si="3"/>
        <v>1.0004117454262975</v>
      </c>
      <c r="O47" s="2">
        <f t="shared" si="4"/>
        <v>0.99999083245050502</v>
      </c>
    </row>
    <row r="48" spans="2:15">
      <c r="B48" s="2">
        <v>7000000</v>
      </c>
      <c r="C48" s="2">
        <v>159.18338600000001</v>
      </c>
      <c r="D48" s="2">
        <v>6923532.1932343096</v>
      </c>
      <c r="E48" s="2">
        <v>1.0613576448520201</v>
      </c>
      <c r="F48" s="2">
        <v>4616348.5667218296</v>
      </c>
      <c r="G48" s="2">
        <v>1.06135709118097</v>
      </c>
      <c r="H48" s="2">
        <v>5.0017175171222403</v>
      </c>
      <c r="I48" s="1">
        <v>-1.32930499984796E-6</v>
      </c>
      <c r="J48" s="2">
        <v>4.9998354299813599</v>
      </c>
      <c r="K48" s="1">
        <v>5.7365753076852901E-6</v>
      </c>
      <c r="M48" s="2">
        <f t="shared" si="2"/>
        <v>5</v>
      </c>
      <c r="N48" s="2">
        <f t="shared" si="3"/>
        <v>1.0003435034244481</v>
      </c>
      <c r="O48" s="2">
        <f t="shared" si="4"/>
        <v>0.99996708599627193</v>
      </c>
    </row>
    <row r="49" spans="2:15">
      <c r="B49" s="2">
        <v>7000000</v>
      </c>
      <c r="C49" s="2">
        <v>159.18338600000001</v>
      </c>
      <c r="D49" s="2">
        <v>6923212.6306869797</v>
      </c>
      <c r="E49" s="2">
        <v>1.0613582938511099</v>
      </c>
      <c r="F49" s="2">
        <v>4945906.9190305099</v>
      </c>
      <c r="G49" s="2">
        <v>1.06135924717888</v>
      </c>
      <c r="H49" s="2">
        <v>6.0026729704460902</v>
      </c>
      <c r="I49" s="1">
        <v>2.78184880888901E-6</v>
      </c>
      <c r="J49" s="2">
        <v>6.0001228161942102</v>
      </c>
      <c r="K49" s="1">
        <v>6.2593841891806398E-6</v>
      </c>
      <c r="M49" s="2">
        <f t="shared" si="2"/>
        <v>6</v>
      </c>
      <c r="N49" s="2">
        <f t="shared" si="3"/>
        <v>1.0004454950743484</v>
      </c>
      <c r="O49" s="2">
        <f t="shared" si="4"/>
        <v>1.0000204693657018</v>
      </c>
    </row>
    <row r="50" spans="2:15">
      <c r="B50" s="2">
        <v>7000000</v>
      </c>
      <c r="C50" s="2">
        <v>159.18338600000001</v>
      </c>
      <c r="D50" s="2">
        <v>6922811.8968153102</v>
      </c>
      <c r="E50" s="2">
        <v>1.0613555985066401</v>
      </c>
      <c r="F50" s="2">
        <v>5192684.1588866403</v>
      </c>
      <c r="G50" s="2">
        <v>1.06135974647134</v>
      </c>
      <c r="H50" s="2">
        <v>7.0026598550056196</v>
      </c>
      <c r="I50" s="1">
        <v>1.42272222993065E-5</v>
      </c>
      <c r="J50" s="2">
        <v>6.9999544477429403</v>
      </c>
      <c r="K50" s="1">
        <v>5.60306228393772E-6</v>
      </c>
      <c r="M50" s="2">
        <f t="shared" si="2"/>
        <v>7</v>
      </c>
      <c r="N50" s="2">
        <f t="shared" si="3"/>
        <v>1.0003799792865171</v>
      </c>
      <c r="O50" s="2">
        <f t="shared" si="4"/>
        <v>0.99999349253470571</v>
      </c>
    </row>
    <row r="51" spans="2:15">
      <c r="B51" s="2">
        <v>7000000</v>
      </c>
      <c r="C51" s="2">
        <v>159.18338600000001</v>
      </c>
      <c r="D51" s="2">
        <v>6922800.4303258304</v>
      </c>
      <c r="E51" s="2">
        <v>1.0613589547778</v>
      </c>
      <c r="F51" s="2">
        <v>5384789.8822912499</v>
      </c>
      <c r="G51" s="2">
        <v>1.0613580403340701</v>
      </c>
      <c r="H51" s="2">
        <v>8.0022795215953497</v>
      </c>
      <c r="I51" s="1">
        <v>-3.6016806885910499E-6</v>
      </c>
      <c r="J51" s="2">
        <v>8.0000345905843204</v>
      </c>
      <c r="K51" s="1">
        <v>3.8340886965707604E-6</v>
      </c>
      <c r="M51" s="2">
        <f t="shared" si="2"/>
        <v>8</v>
      </c>
      <c r="N51" s="2">
        <f t="shared" si="3"/>
        <v>1.0002849401994187</v>
      </c>
      <c r="O51" s="2">
        <f t="shared" si="4"/>
        <v>1.0000043238230401</v>
      </c>
    </row>
    <row r="52" spans="2:15">
      <c r="B52" s="2">
        <v>7000000</v>
      </c>
      <c r="C52" s="2">
        <v>159.18338600000001</v>
      </c>
      <c r="D52" s="2">
        <v>6922825.4413795397</v>
      </c>
      <c r="E52" s="2">
        <v>1.0613574072315599</v>
      </c>
      <c r="F52" s="2">
        <v>5538974.9626533398</v>
      </c>
      <c r="G52" s="2">
        <v>1.06135602527788</v>
      </c>
      <c r="H52" s="2">
        <v>9.0051639215116008</v>
      </c>
      <c r="I52" s="1">
        <v>-6.1456285571327701E-6</v>
      </c>
      <c r="J52" s="2">
        <v>9.0001775478506598</v>
      </c>
      <c r="K52" s="1">
        <v>1.5763376794328599E-6</v>
      </c>
      <c r="M52" s="2">
        <f t="shared" si="2"/>
        <v>9</v>
      </c>
      <c r="N52" s="2">
        <f t="shared" si="3"/>
        <v>1.0005737690568446</v>
      </c>
      <c r="O52" s="2">
        <f t="shared" si="4"/>
        <v>1.0000197275389622</v>
      </c>
    </row>
    <row r="53" spans="2:15">
      <c r="B53" s="2">
        <v>7000000</v>
      </c>
      <c r="C53" s="2">
        <v>159.18338600000001</v>
      </c>
      <c r="D53" s="2">
        <v>6922652.3523049401</v>
      </c>
      <c r="E53" s="2">
        <v>1.0613599216076799</v>
      </c>
      <c r="F53" s="2">
        <v>5665193.0521769198</v>
      </c>
      <c r="G53" s="2">
        <v>1.06136294879507</v>
      </c>
      <c r="H53" s="2">
        <v>10.010539030373</v>
      </c>
      <c r="I53" s="1">
        <v>1.5000688762416799E-5</v>
      </c>
      <c r="J53" s="2">
        <v>9.9999629259625102</v>
      </c>
      <c r="K53" s="1">
        <v>2.6461233352765198E-6</v>
      </c>
      <c r="M53" s="2">
        <f t="shared" si="2"/>
        <v>10</v>
      </c>
      <c r="N53" s="2">
        <f t="shared" si="3"/>
        <v>1.0010539030373</v>
      </c>
      <c r="O53" s="2">
        <f t="shared" si="4"/>
        <v>0.999996292596251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Crystal Lake Designs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Williamsen</dc:creator>
  <cp:lastModifiedBy>Mark Williamsen</cp:lastModifiedBy>
  <dcterms:created xsi:type="dcterms:W3CDTF">2025-06-12T09:27:44Z</dcterms:created>
  <dcterms:modified xsi:type="dcterms:W3CDTF">2025-06-17T17:51:16Z</dcterms:modified>
</cp:coreProperties>
</file>