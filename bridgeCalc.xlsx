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25600" windowHeight="16060"/>
  </bookViews>
  <sheets>
    <sheet name="fourCellsChart" sheetId="8" r:id="rId1"/>
    <sheet name="fourCells" sheetId="6" r:id="rId2"/>
  </sheets>
  <definedNames>
    <definedName name="_mult">fourCells!$A$9</definedName>
    <definedName name="_rate">fourCells!$A$5</definedName>
    <definedName name="_steps">fourCells!$A$7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6" l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D100" i="6"/>
  <c r="E100" i="6"/>
  <c r="F100" i="6"/>
  <c r="G100" i="6"/>
  <c r="H100" i="6"/>
  <c r="I100" i="6"/>
  <c r="J100" i="6"/>
  <c r="K100" i="6"/>
  <c r="L100" i="6"/>
  <c r="B101" i="6"/>
  <c r="C101" i="6"/>
  <c r="D101" i="6"/>
  <c r="E101" i="6"/>
  <c r="F101" i="6"/>
  <c r="G101" i="6"/>
  <c r="H101" i="6"/>
  <c r="I101" i="6"/>
  <c r="J101" i="6"/>
  <c r="K101" i="6"/>
  <c r="L101" i="6"/>
  <c r="D96" i="6"/>
  <c r="E96" i="6"/>
  <c r="F96" i="6"/>
  <c r="G96" i="6"/>
  <c r="H96" i="6"/>
  <c r="I96" i="6"/>
  <c r="J96" i="6"/>
  <c r="K96" i="6"/>
  <c r="L96" i="6"/>
  <c r="D97" i="6"/>
  <c r="E97" i="6"/>
  <c r="F97" i="6"/>
  <c r="G97" i="6"/>
  <c r="H97" i="6"/>
  <c r="I97" i="6"/>
  <c r="J97" i="6"/>
  <c r="K97" i="6"/>
  <c r="L97" i="6"/>
  <c r="D98" i="6"/>
  <c r="E98" i="6"/>
  <c r="F98" i="6"/>
  <c r="G98" i="6"/>
  <c r="H98" i="6"/>
  <c r="I98" i="6"/>
  <c r="J98" i="6"/>
  <c r="K98" i="6"/>
  <c r="L98" i="6"/>
  <c r="D99" i="6"/>
  <c r="E99" i="6"/>
  <c r="F99" i="6"/>
  <c r="G99" i="6"/>
  <c r="H99" i="6"/>
  <c r="I99" i="6"/>
  <c r="J99" i="6"/>
  <c r="K99" i="6"/>
  <c r="L99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5" i="6"/>
  <c r="E6" i="6"/>
  <c r="F6" i="6"/>
  <c r="G6" i="6"/>
  <c r="H6" i="6"/>
  <c r="I6" i="6"/>
  <c r="K6" i="6"/>
  <c r="L6" i="6"/>
  <c r="E7" i="6"/>
  <c r="F7" i="6"/>
  <c r="G7" i="6"/>
  <c r="H7" i="6"/>
  <c r="I7" i="6"/>
  <c r="K7" i="6"/>
  <c r="L7" i="6"/>
  <c r="E8" i="6"/>
  <c r="F8" i="6"/>
  <c r="G8" i="6"/>
  <c r="H8" i="6"/>
  <c r="I8" i="6"/>
  <c r="K8" i="6"/>
  <c r="L8" i="6"/>
  <c r="E9" i="6"/>
  <c r="F9" i="6"/>
  <c r="G9" i="6"/>
  <c r="H9" i="6"/>
  <c r="I9" i="6"/>
  <c r="K9" i="6"/>
  <c r="L9" i="6"/>
  <c r="E10" i="6"/>
  <c r="F10" i="6"/>
  <c r="G10" i="6"/>
  <c r="H10" i="6"/>
  <c r="I10" i="6"/>
  <c r="K10" i="6"/>
  <c r="L10" i="6"/>
  <c r="E11" i="6"/>
  <c r="F11" i="6"/>
  <c r="G11" i="6"/>
  <c r="H11" i="6"/>
  <c r="I11" i="6"/>
  <c r="K11" i="6"/>
  <c r="L11" i="6"/>
  <c r="E12" i="6"/>
  <c r="F12" i="6"/>
  <c r="G12" i="6"/>
  <c r="H12" i="6"/>
  <c r="I12" i="6"/>
  <c r="K12" i="6"/>
  <c r="L12" i="6"/>
  <c r="E13" i="6"/>
  <c r="F13" i="6"/>
  <c r="G13" i="6"/>
  <c r="H13" i="6"/>
  <c r="I13" i="6"/>
  <c r="K13" i="6"/>
  <c r="L13" i="6"/>
  <c r="E14" i="6"/>
  <c r="F14" i="6"/>
  <c r="G14" i="6"/>
  <c r="H14" i="6"/>
  <c r="I14" i="6"/>
  <c r="K14" i="6"/>
  <c r="L14" i="6"/>
  <c r="E15" i="6"/>
  <c r="F15" i="6"/>
  <c r="G15" i="6"/>
  <c r="H15" i="6"/>
  <c r="I15" i="6"/>
  <c r="K15" i="6"/>
  <c r="L15" i="6"/>
  <c r="E16" i="6"/>
  <c r="F16" i="6"/>
  <c r="G16" i="6"/>
  <c r="H16" i="6"/>
  <c r="I16" i="6"/>
  <c r="K16" i="6"/>
  <c r="L16" i="6"/>
  <c r="E17" i="6"/>
  <c r="F17" i="6"/>
  <c r="G17" i="6"/>
  <c r="H17" i="6"/>
  <c r="I17" i="6"/>
  <c r="K17" i="6"/>
  <c r="L17" i="6"/>
  <c r="E18" i="6"/>
  <c r="F18" i="6"/>
  <c r="G18" i="6"/>
  <c r="H18" i="6"/>
  <c r="I18" i="6"/>
  <c r="K18" i="6"/>
  <c r="L18" i="6"/>
  <c r="E19" i="6"/>
  <c r="F19" i="6"/>
  <c r="G19" i="6"/>
  <c r="H19" i="6"/>
  <c r="I19" i="6"/>
  <c r="K19" i="6"/>
  <c r="L19" i="6"/>
  <c r="E20" i="6"/>
  <c r="F20" i="6"/>
  <c r="G20" i="6"/>
  <c r="H20" i="6"/>
  <c r="I20" i="6"/>
  <c r="K20" i="6"/>
  <c r="L20" i="6"/>
  <c r="E21" i="6"/>
  <c r="F21" i="6"/>
  <c r="G21" i="6"/>
  <c r="H21" i="6"/>
  <c r="I21" i="6"/>
  <c r="K21" i="6"/>
  <c r="L21" i="6"/>
  <c r="E22" i="6"/>
  <c r="F22" i="6"/>
  <c r="G22" i="6"/>
  <c r="H22" i="6"/>
  <c r="I22" i="6"/>
  <c r="K22" i="6"/>
  <c r="L22" i="6"/>
  <c r="E23" i="6"/>
  <c r="F23" i="6"/>
  <c r="G23" i="6"/>
  <c r="H23" i="6"/>
  <c r="I23" i="6"/>
  <c r="K23" i="6"/>
  <c r="L23" i="6"/>
  <c r="E24" i="6"/>
  <c r="F24" i="6"/>
  <c r="G24" i="6"/>
  <c r="H24" i="6"/>
  <c r="I24" i="6"/>
  <c r="K24" i="6"/>
  <c r="L24" i="6"/>
  <c r="E25" i="6"/>
  <c r="F25" i="6"/>
  <c r="G25" i="6"/>
  <c r="H25" i="6"/>
  <c r="I25" i="6"/>
  <c r="K25" i="6"/>
  <c r="L25" i="6"/>
  <c r="E26" i="6"/>
  <c r="F26" i="6"/>
  <c r="G26" i="6"/>
  <c r="H26" i="6"/>
  <c r="I26" i="6"/>
  <c r="K26" i="6"/>
  <c r="L26" i="6"/>
  <c r="E27" i="6"/>
  <c r="F27" i="6"/>
  <c r="G27" i="6"/>
  <c r="H27" i="6"/>
  <c r="I27" i="6"/>
  <c r="K27" i="6"/>
  <c r="L27" i="6"/>
  <c r="E28" i="6"/>
  <c r="F28" i="6"/>
  <c r="G28" i="6"/>
  <c r="H28" i="6"/>
  <c r="I28" i="6"/>
  <c r="K28" i="6"/>
  <c r="L28" i="6"/>
  <c r="E29" i="6"/>
  <c r="F29" i="6"/>
  <c r="G29" i="6"/>
  <c r="H29" i="6"/>
  <c r="I29" i="6"/>
  <c r="K29" i="6"/>
  <c r="L29" i="6"/>
  <c r="E30" i="6"/>
  <c r="F30" i="6"/>
  <c r="G30" i="6"/>
  <c r="H30" i="6"/>
  <c r="I30" i="6"/>
  <c r="K30" i="6"/>
  <c r="L30" i="6"/>
  <c r="E31" i="6"/>
  <c r="F31" i="6"/>
  <c r="G31" i="6"/>
  <c r="H31" i="6"/>
  <c r="I31" i="6"/>
  <c r="K31" i="6"/>
  <c r="L31" i="6"/>
  <c r="E32" i="6"/>
  <c r="F32" i="6"/>
  <c r="G32" i="6"/>
  <c r="H32" i="6"/>
  <c r="I32" i="6"/>
  <c r="K32" i="6"/>
  <c r="L32" i="6"/>
  <c r="E33" i="6"/>
  <c r="F33" i="6"/>
  <c r="G33" i="6"/>
  <c r="H33" i="6"/>
  <c r="I33" i="6"/>
  <c r="K33" i="6"/>
  <c r="L33" i="6"/>
  <c r="E34" i="6"/>
  <c r="F34" i="6"/>
  <c r="G34" i="6"/>
  <c r="H34" i="6"/>
  <c r="I34" i="6"/>
  <c r="K34" i="6"/>
  <c r="L34" i="6"/>
  <c r="E35" i="6"/>
  <c r="F35" i="6"/>
  <c r="G35" i="6"/>
  <c r="H35" i="6"/>
  <c r="I35" i="6"/>
  <c r="K35" i="6"/>
  <c r="L35" i="6"/>
  <c r="E36" i="6"/>
  <c r="F36" i="6"/>
  <c r="G36" i="6"/>
  <c r="H36" i="6"/>
  <c r="I36" i="6"/>
  <c r="K36" i="6"/>
  <c r="L36" i="6"/>
  <c r="E37" i="6"/>
  <c r="F37" i="6"/>
  <c r="G37" i="6"/>
  <c r="H37" i="6"/>
  <c r="I37" i="6"/>
  <c r="K37" i="6"/>
  <c r="L37" i="6"/>
  <c r="E38" i="6"/>
  <c r="F38" i="6"/>
  <c r="G38" i="6"/>
  <c r="H38" i="6"/>
  <c r="I38" i="6"/>
  <c r="K38" i="6"/>
  <c r="L38" i="6"/>
  <c r="E39" i="6"/>
  <c r="F39" i="6"/>
  <c r="G39" i="6"/>
  <c r="H39" i="6"/>
  <c r="I39" i="6"/>
  <c r="K39" i="6"/>
  <c r="L39" i="6"/>
  <c r="E40" i="6"/>
  <c r="F40" i="6"/>
  <c r="G40" i="6"/>
  <c r="H40" i="6"/>
  <c r="I40" i="6"/>
  <c r="K40" i="6"/>
  <c r="L40" i="6"/>
  <c r="E41" i="6"/>
  <c r="F41" i="6"/>
  <c r="G41" i="6"/>
  <c r="H41" i="6"/>
  <c r="I41" i="6"/>
  <c r="K41" i="6"/>
  <c r="L41" i="6"/>
  <c r="E42" i="6"/>
  <c r="F42" i="6"/>
  <c r="G42" i="6"/>
  <c r="H42" i="6"/>
  <c r="I42" i="6"/>
  <c r="K42" i="6"/>
  <c r="L42" i="6"/>
  <c r="E43" i="6"/>
  <c r="F43" i="6"/>
  <c r="G43" i="6"/>
  <c r="H43" i="6"/>
  <c r="I43" i="6"/>
  <c r="K43" i="6"/>
  <c r="L43" i="6"/>
  <c r="E44" i="6"/>
  <c r="F44" i="6"/>
  <c r="G44" i="6"/>
  <c r="H44" i="6"/>
  <c r="I44" i="6"/>
  <c r="K44" i="6"/>
  <c r="L44" i="6"/>
  <c r="E45" i="6"/>
  <c r="F45" i="6"/>
  <c r="G45" i="6"/>
  <c r="H45" i="6"/>
  <c r="I45" i="6"/>
  <c r="K45" i="6"/>
  <c r="L45" i="6"/>
  <c r="E46" i="6"/>
  <c r="F46" i="6"/>
  <c r="G46" i="6"/>
  <c r="H46" i="6"/>
  <c r="I46" i="6"/>
  <c r="K46" i="6"/>
  <c r="L46" i="6"/>
  <c r="E47" i="6"/>
  <c r="F47" i="6"/>
  <c r="G47" i="6"/>
  <c r="H47" i="6"/>
  <c r="I47" i="6"/>
  <c r="K47" i="6"/>
  <c r="L47" i="6"/>
  <c r="E48" i="6"/>
  <c r="F48" i="6"/>
  <c r="G48" i="6"/>
  <c r="H48" i="6"/>
  <c r="I48" i="6"/>
  <c r="K48" i="6"/>
  <c r="L48" i="6"/>
  <c r="E49" i="6"/>
  <c r="F49" i="6"/>
  <c r="G49" i="6"/>
  <c r="H49" i="6"/>
  <c r="I49" i="6"/>
  <c r="K49" i="6"/>
  <c r="L49" i="6"/>
  <c r="E50" i="6"/>
  <c r="F50" i="6"/>
  <c r="G50" i="6"/>
  <c r="H50" i="6"/>
  <c r="I50" i="6"/>
  <c r="K50" i="6"/>
  <c r="L50" i="6"/>
  <c r="E51" i="6"/>
  <c r="F51" i="6"/>
  <c r="G51" i="6"/>
  <c r="H51" i="6"/>
  <c r="I51" i="6"/>
  <c r="K51" i="6"/>
  <c r="L51" i="6"/>
  <c r="E52" i="6"/>
  <c r="F52" i="6"/>
  <c r="G52" i="6"/>
  <c r="H52" i="6"/>
  <c r="I52" i="6"/>
  <c r="K52" i="6"/>
  <c r="L52" i="6"/>
  <c r="E53" i="6"/>
  <c r="F53" i="6"/>
  <c r="G53" i="6"/>
  <c r="H53" i="6"/>
  <c r="I53" i="6"/>
  <c r="K53" i="6"/>
  <c r="L53" i="6"/>
  <c r="E54" i="6"/>
  <c r="F54" i="6"/>
  <c r="G54" i="6"/>
  <c r="H54" i="6"/>
  <c r="I54" i="6"/>
  <c r="K54" i="6"/>
  <c r="L54" i="6"/>
  <c r="E55" i="6"/>
  <c r="F55" i="6"/>
  <c r="G55" i="6"/>
  <c r="H55" i="6"/>
  <c r="I55" i="6"/>
  <c r="K55" i="6"/>
  <c r="L55" i="6"/>
  <c r="E56" i="6"/>
  <c r="F56" i="6"/>
  <c r="G56" i="6"/>
  <c r="H56" i="6"/>
  <c r="I56" i="6"/>
  <c r="K56" i="6"/>
  <c r="L56" i="6"/>
  <c r="E57" i="6"/>
  <c r="F57" i="6"/>
  <c r="G57" i="6"/>
  <c r="H57" i="6"/>
  <c r="I57" i="6"/>
  <c r="K57" i="6"/>
  <c r="L57" i="6"/>
  <c r="E58" i="6"/>
  <c r="F58" i="6"/>
  <c r="G58" i="6"/>
  <c r="H58" i="6"/>
  <c r="I58" i="6"/>
  <c r="K58" i="6"/>
  <c r="L58" i="6"/>
  <c r="E59" i="6"/>
  <c r="F59" i="6"/>
  <c r="G59" i="6"/>
  <c r="H59" i="6"/>
  <c r="I59" i="6"/>
  <c r="K59" i="6"/>
  <c r="L59" i="6"/>
  <c r="E60" i="6"/>
  <c r="F60" i="6"/>
  <c r="G60" i="6"/>
  <c r="H60" i="6"/>
  <c r="I60" i="6"/>
  <c r="K60" i="6"/>
  <c r="L60" i="6"/>
  <c r="E61" i="6"/>
  <c r="F61" i="6"/>
  <c r="G61" i="6"/>
  <c r="H61" i="6"/>
  <c r="I61" i="6"/>
  <c r="K61" i="6"/>
  <c r="L61" i="6"/>
  <c r="E62" i="6"/>
  <c r="F62" i="6"/>
  <c r="G62" i="6"/>
  <c r="H62" i="6"/>
  <c r="I62" i="6"/>
  <c r="K62" i="6"/>
  <c r="L62" i="6"/>
  <c r="E63" i="6"/>
  <c r="F63" i="6"/>
  <c r="G63" i="6"/>
  <c r="H63" i="6"/>
  <c r="I63" i="6"/>
  <c r="K63" i="6"/>
  <c r="L63" i="6"/>
  <c r="E64" i="6"/>
  <c r="F64" i="6"/>
  <c r="G64" i="6"/>
  <c r="H64" i="6"/>
  <c r="I64" i="6"/>
  <c r="K64" i="6"/>
  <c r="L64" i="6"/>
  <c r="E65" i="6"/>
  <c r="F65" i="6"/>
  <c r="G65" i="6"/>
  <c r="H65" i="6"/>
  <c r="I65" i="6"/>
  <c r="K65" i="6"/>
  <c r="L65" i="6"/>
  <c r="E66" i="6"/>
  <c r="F66" i="6"/>
  <c r="G66" i="6"/>
  <c r="H66" i="6"/>
  <c r="I66" i="6"/>
  <c r="K66" i="6"/>
  <c r="L66" i="6"/>
  <c r="E67" i="6"/>
  <c r="F67" i="6"/>
  <c r="G67" i="6"/>
  <c r="H67" i="6"/>
  <c r="I67" i="6"/>
  <c r="K67" i="6"/>
  <c r="L67" i="6"/>
  <c r="E68" i="6"/>
  <c r="F68" i="6"/>
  <c r="G68" i="6"/>
  <c r="H68" i="6"/>
  <c r="I68" i="6"/>
  <c r="K68" i="6"/>
  <c r="L68" i="6"/>
  <c r="E69" i="6"/>
  <c r="F69" i="6"/>
  <c r="G69" i="6"/>
  <c r="H69" i="6"/>
  <c r="I69" i="6"/>
  <c r="K69" i="6"/>
  <c r="L69" i="6"/>
  <c r="E70" i="6"/>
  <c r="F70" i="6"/>
  <c r="G70" i="6"/>
  <c r="H70" i="6"/>
  <c r="I70" i="6"/>
  <c r="K70" i="6"/>
  <c r="L70" i="6"/>
  <c r="E71" i="6"/>
  <c r="F71" i="6"/>
  <c r="G71" i="6"/>
  <c r="H71" i="6"/>
  <c r="I71" i="6"/>
  <c r="K71" i="6"/>
  <c r="L71" i="6"/>
  <c r="E72" i="6"/>
  <c r="F72" i="6"/>
  <c r="G72" i="6"/>
  <c r="H72" i="6"/>
  <c r="I72" i="6"/>
  <c r="K72" i="6"/>
  <c r="L72" i="6"/>
  <c r="E73" i="6"/>
  <c r="F73" i="6"/>
  <c r="G73" i="6"/>
  <c r="H73" i="6"/>
  <c r="I73" i="6"/>
  <c r="K73" i="6"/>
  <c r="L73" i="6"/>
  <c r="E74" i="6"/>
  <c r="F74" i="6"/>
  <c r="G74" i="6"/>
  <c r="H74" i="6"/>
  <c r="I74" i="6"/>
  <c r="K74" i="6"/>
  <c r="L74" i="6"/>
  <c r="E75" i="6"/>
  <c r="F75" i="6"/>
  <c r="G75" i="6"/>
  <c r="H75" i="6"/>
  <c r="I75" i="6"/>
  <c r="K75" i="6"/>
  <c r="L75" i="6"/>
  <c r="E76" i="6"/>
  <c r="F76" i="6"/>
  <c r="G76" i="6"/>
  <c r="H76" i="6"/>
  <c r="I76" i="6"/>
  <c r="K76" i="6"/>
  <c r="L76" i="6"/>
  <c r="E77" i="6"/>
  <c r="F77" i="6"/>
  <c r="G77" i="6"/>
  <c r="H77" i="6"/>
  <c r="I77" i="6"/>
  <c r="K77" i="6"/>
  <c r="L77" i="6"/>
  <c r="E78" i="6"/>
  <c r="F78" i="6"/>
  <c r="G78" i="6"/>
  <c r="H78" i="6"/>
  <c r="I78" i="6"/>
  <c r="K78" i="6"/>
  <c r="L78" i="6"/>
  <c r="E79" i="6"/>
  <c r="F79" i="6"/>
  <c r="G79" i="6"/>
  <c r="H79" i="6"/>
  <c r="I79" i="6"/>
  <c r="K79" i="6"/>
  <c r="L79" i="6"/>
  <c r="E80" i="6"/>
  <c r="F80" i="6"/>
  <c r="G80" i="6"/>
  <c r="H80" i="6"/>
  <c r="I80" i="6"/>
  <c r="K80" i="6"/>
  <c r="L80" i="6"/>
  <c r="E81" i="6"/>
  <c r="F81" i="6"/>
  <c r="G81" i="6"/>
  <c r="H81" i="6"/>
  <c r="I81" i="6"/>
  <c r="K81" i="6"/>
  <c r="L81" i="6"/>
  <c r="E82" i="6"/>
  <c r="F82" i="6"/>
  <c r="G82" i="6"/>
  <c r="H82" i="6"/>
  <c r="I82" i="6"/>
  <c r="K82" i="6"/>
  <c r="L82" i="6"/>
  <c r="E83" i="6"/>
  <c r="F83" i="6"/>
  <c r="G83" i="6"/>
  <c r="H83" i="6"/>
  <c r="I83" i="6"/>
  <c r="K83" i="6"/>
  <c r="L83" i="6"/>
  <c r="E84" i="6"/>
  <c r="F84" i="6"/>
  <c r="G84" i="6"/>
  <c r="H84" i="6"/>
  <c r="I84" i="6"/>
  <c r="K84" i="6"/>
  <c r="L84" i="6"/>
  <c r="E85" i="6"/>
  <c r="F85" i="6"/>
  <c r="G85" i="6"/>
  <c r="H85" i="6"/>
  <c r="I85" i="6"/>
  <c r="K85" i="6"/>
  <c r="L85" i="6"/>
  <c r="E86" i="6"/>
  <c r="F86" i="6"/>
  <c r="G86" i="6"/>
  <c r="H86" i="6"/>
  <c r="I86" i="6"/>
  <c r="K86" i="6"/>
  <c r="L86" i="6"/>
  <c r="E87" i="6"/>
  <c r="F87" i="6"/>
  <c r="G87" i="6"/>
  <c r="H87" i="6"/>
  <c r="I87" i="6"/>
  <c r="K87" i="6"/>
  <c r="L87" i="6"/>
  <c r="E88" i="6"/>
  <c r="F88" i="6"/>
  <c r="G88" i="6"/>
  <c r="H88" i="6"/>
  <c r="I88" i="6"/>
  <c r="K88" i="6"/>
  <c r="L88" i="6"/>
  <c r="E89" i="6"/>
  <c r="F89" i="6"/>
  <c r="G89" i="6"/>
  <c r="H89" i="6"/>
  <c r="I89" i="6"/>
  <c r="K89" i="6"/>
  <c r="L89" i="6"/>
  <c r="E90" i="6"/>
  <c r="F90" i="6"/>
  <c r="G90" i="6"/>
  <c r="H90" i="6"/>
  <c r="I90" i="6"/>
  <c r="K90" i="6"/>
  <c r="L90" i="6"/>
  <c r="E91" i="6"/>
  <c r="F91" i="6"/>
  <c r="G91" i="6"/>
  <c r="H91" i="6"/>
  <c r="I91" i="6"/>
  <c r="K91" i="6"/>
  <c r="L91" i="6"/>
  <c r="E92" i="6"/>
  <c r="F92" i="6"/>
  <c r="G92" i="6"/>
  <c r="H92" i="6"/>
  <c r="I92" i="6"/>
  <c r="K92" i="6"/>
  <c r="L92" i="6"/>
  <c r="E93" i="6"/>
  <c r="F93" i="6"/>
  <c r="G93" i="6"/>
  <c r="H93" i="6"/>
  <c r="I93" i="6"/>
  <c r="K93" i="6"/>
  <c r="L93" i="6"/>
  <c r="E94" i="6"/>
  <c r="F94" i="6"/>
  <c r="G94" i="6"/>
  <c r="H94" i="6"/>
  <c r="I94" i="6"/>
  <c r="K94" i="6"/>
  <c r="L94" i="6"/>
  <c r="E95" i="6"/>
  <c r="F95" i="6"/>
  <c r="G95" i="6"/>
  <c r="H95" i="6"/>
  <c r="I95" i="6"/>
  <c r="K95" i="6"/>
  <c r="L95" i="6"/>
  <c r="E5" i="6"/>
  <c r="F5" i="6"/>
  <c r="G5" i="6"/>
  <c r="H5" i="6"/>
  <c r="I5" i="6"/>
  <c r="K5" i="6"/>
  <c r="L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5" i="6"/>
</calcChain>
</file>

<file path=xl/sharedStrings.xml><?xml version="1.0" encoding="utf-8"?>
<sst xmlns="http://schemas.openxmlformats.org/spreadsheetml/2006/main" count="32" uniqueCount="26">
  <si>
    <t>N</t>
  </si>
  <si>
    <t>4N+1</t>
  </si>
  <si>
    <t>Multiplier</t>
  </si>
  <si>
    <t>Log scale</t>
  </si>
  <si>
    <t>Frequencies</t>
  </si>
  <si>
    <t>Samples</t>
  </si>
  <si>
    <t>Index</t>
  </si>
  <si>
    <t>Cycles</t>
  </si>
  <si>
    <t>Integer</t>
  </si>
  <si>
    <t>Actual</t>
  </si>
  <si>
    <t>Frequency</t>
  </si>
  <si>
    <t>Steps</t>
  </si>
  <si>
    <t>Quarter</t>
  </si>
  <si>
    <t>Waves</t>
  </si>
  <si>
    <t>Per</t>
  </si>
  <si>
    <t>Time</t>
  </si>
  <si>
    <t>Wave</t>
  </si>
  <si>
    <t>Per Cell</t>
  </si>
  <si>
    <t>Per Quarter</t>
  </si>
  <si>
    <t>Cell</t>
  </si>
  <si>
    <t>Error</t>
  </si>
  <si>
    <t>Percent</t>
  </si>
  <si>
    <t>Four Cells</t>
  </si>
  <si>
    <t>In</t>
  </si>
  <si>
    <t>Rate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</si>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</sst>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"/>
    <numFmt numFmtId="166" formatCode="0.00000"/>
    <numFmt numFmtId="167" formatCode="0.0000%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2" Type="http://schemas.microsoft.com/office/2017/10/relationships/person" Target="persons/person.xml"/><Relationship Id="rId1" Type="http://schemas.openxmlformats.org/officeDocument/2006/relationships/chartsheet" Target="chartsheets/sheet1.xml"/><Relationship Id="rId2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fourCells!$B$5:$B$101</c:f>
              <c:numCache>
                <c:formatCode>0.00</c:formatCode>
                <c:ptCount val="97"/>
                <c:pt idx="0">
                  <c:v>10.0</c:v>
                </c:pt>
                <c:pt idx="1">
                  <c:v>10.74607828321317</c:v>
                </c:pt>
                <c:pt idx="2">
                  <c:v>11.54781984689458</c:v>
                </c:pt>
                <c:pt idx="3">
                  <c:v>12.40937760751719</c:v>
                </c:pt>
                <c:pt idx="4">
                  <c:v>13.33521432163324</c:v>
                </c:pt>
                <c:pt idx="5">
                  <c:v>14.33012570236962</c:v>
                </c:pt>
                <c:pt idx="6">
                  <c:v>15.39926526059491</c:v>
                </c:pt>
                <c:pt idx="7">
                  <c:v>16.5481709994318</c:v>
                </c:pt>
                <c:pt idx="8">
                  <c:v>17.78279410038921</c:v>
                </c:pt>
                <c:pt idx="9">
                  <c:v>19.10952974970439</c:v>
                </c:pt>
                <c:pt idx="10">
                  <c:v>20.53525026457144</c:v>
                </c:pt>
                <c:pt idx="11">
                  <c:v>22.06734069084587</c:v>
                </c:pt>
                <c:pt idx="12">
                  <c:v>23.71373705661653</c:v>
                </c:pt>
                <c:pt idx="13">
                  <c:v>25.48296747979343</c:v>
                </c:pt>
                <c:pt idx="14">
                  <c:v>27.38419634264358</c:v>
                </c:pt>
                <c:pt idx="15">
                  <c:v>29.42727176209277</c:v>
                </c:pt>
                <c:pt idx="16">
                  <c:v>31.62277660168375</c:v>
                </c:pt>
                <c:pt idx="17">
                  <c:v>33.98208328942554</c:v>
                </c:pt>
                <c:pt idx="18">
                  <c:v>36.51741272548371</c:v>
                </c:pt>
                <c:pt idx="19">
                  <c:v>39.24189758484529</c:v>
                </c:pt>
                <c:pt idx="20">
                  <c:v>42.16965034285814</c:v>
                </c:pt>
                <c:pt idx="21">
                  <c:v>45.3158363760081</c:v>
                </c:pt>
                <c:pt idx="22">
                  <c:v>48.69675251658621</c:v>
                </c:pt>
                <c:pt idx="23">
                  <c:v>52.32991146814936</c:v>
                </c:pt>
                <c:pt idx="24">
                  <c:v>56.23413251903478</c:v>
                </c:pt>
                <c:pt idx="25">
                  <c:v>60.42963902381315</c:v>
                </c:pt>
                <c:pt idx="26">
                  <c:v>64.93816315762098</c:v>
                </c:pt>
                <c:pt idx="27">
                  <c:v>69.78305848598645</c:v>
                </c:pt>
                <c:pt idx="28">
                  <c:v>74.98942093324538</c:v>
                </c:pt>
                <c:pt idx="29">
                  <c:v>80.58421877614796</c:v>
                </c:pt>
                <c:pt idx="30">
                  <c:v>86.59643233600629</c:v>
                </c:pt>
                <c:pt idx="31">
                  <c:v>93.05720409296963</c:v>
                </c:pt>
                <c:pt idx="32">
                  <c:v>99.9999999999997</c:v>
                </c:pt>
                <c:pt idx="33">
                  <c:v>107.4607828321314</c:v>
                </c:pt>
                <c:pt idx="34">
                  <c:v>115.4781984689455</c:v>
                </c:pt>
                <c:pt idx="35">
                  <c:v>124.0937760751715</c:v>
                </c:pt>
                <c:pt idx="36">
                  <c:v>133.352143216332</c:v>
                </c:pt>
                <c:pt idx="37">
                  <c:v>143.3012570236958</c:v>
                </c:pt>
                <c:pt idx="38">
                  <c:v>153.9926526059486</c:v>
                </c:pt>
                <c:pt idx="39">
                  <c:v>165.4817099943175</c:v>
                </c:pt>
                <c:pt idx="40">
                  <c:v>177.8279410038916</c:v>
                </c:pt>
                <c:pt idx="41">
                  <c:v>191.0952974970433</c:v>
                </c:pt>
                <c:pt idx="42">
                  <c:v>205.3525026457138</c:v>
                </c:pt>
                <c:pt idx="43">
                  <c:v>220.6734069084581</c:v>
                </c:pt>
                <c:pt idx="44">
                  <c:v>237.1373705661646</c:v>
                </c:pt>
                <c:pt idx="45">
                  <c:v>254.8296747979336</c:v>
                </c:pt>
                <c:pt idx="46">
                  <c:v>273.841963426435</c:v>
                </c:pt>
                <c:pt idx="47">
                  <c:v>294.272717620927</c:v>
                </c:pt>
                <c:pt idx="48">
                  <c:v>316.2277660168365</c:v>
                </c:pt>
                <c:pt idx="49">
                  <c:v>339.8208328942544</c:v>
                </c:pt>
                <c:pt idx="50">
                  <c:v>365.174127254836</c:v>
                </c:pt>
                <c:pt idx="51">
                  <c:v>392.4189758484517</c:v>
                </c:pt>
                <c:pt idx="52">
                  <c:v>421.6965034285802</c:v>
                </c:pt>
                <c:pt idx="53">
                  <c:v>453.1583637600796</c:v>
                </c:pt>
                <c:pt idx="54">
                  <c:v>486.9675251658607</c:v>
                </c:pt>
                <c:pt idx="55">
                  <c:v>523.299114681492</c:v>
                </c:pt>
                <c:pt idx="56">
                  <c:v>562.3413251903462</c:v>
                </c:pt>
                <c:pt idx="57">
                  <c:v>604.2963902381296</c:v>
                </c:pt>
                <c:pt idx="58">
                  <c:v>649.3816315762078</c:v>
                </c:pt>
                <c:pt idx="59">
                  <c:v>697.8305848598626</c:v>
                </c:pt>
                <c:pt idx="60">
                  <c:v>749.8942093324517</c:v>
                </c:pt>
                <c:pt idx="61">
                  <c:v>805.8421877614774</c:v>
                </c:pt>
                <c:pt idx="62">
                  <c:v>865.9643233600604</c:v>
                </c:pt>
                <c:pt idx="63">
                  <c:v>930.5720409296936</c:v>
                </c:pt>
                <c:pt idx="64">
                  <c:v>999.9999999999942</c:v>
                </c:pt>
                <c:pt idx="65">
                  <c:v>1074.607828321311</c:v>
                </c:pt>
                <c:pt idx="66">
                  <c:v>1154.781984689451</c:v>
                </c:pt>
                <c:pt idx="67">
                  <c:v>1240.937760751712</c:v>
                </c:pt>
                <c:pt idx="68">
                  <c:v>1333.521432163316</c:v>
                </c:pt>
                <c:pt idx="69">
                  <c:v>1433.012570236954</c:v>
                </c:pt>
                <c:pt idx="70">
                  <c:v>1539.926526059482</c:v>
                </c:pt>
                <c:pt idx="71">
                  <c:v>1654.817099943171</c:v>
                </c:pt>
                <c:pt idx="72">
                  <c:v>1778.279410038911</c:v>
                </c:pt>
                <c:pt idx="73">
                  <c:v>1910.952974970428</c:v>
                </c:pt>
                <c:pt idx="74">
                  <c:v>2053.525026457132</c:v>
                </c:pt>
                <c:pt idx="75">
                  <c:v>2206.734069084575</c:v>
                </c:pt>
                <c:pt idx="76">
                  <c:v>2371.37370566164</c:v>
                </c:pt>
                <c:pt idx="77">
                  <c:v>2548.29674797933</c:v>
                </c:pt>
                <c:pt idx="78">
                  <c:v>2738.419634264343</c:v>
                </c:pt>
                <c:pt idx="79">
                  <c:v>2942.727176209261</c:v>
                </c:pt>
                <c:pt idx="80">
                  <c:v>3162.277660168357</c:v>
                </c:pt>
                <c:pt idx="81">
                  <c:v>3398.208328942535</c:v>
                </c:pt>
                <c:pt idx="82">
                  <c:v>3651.741272548351</c:v>
                </c:pt>
                <c:pt idx="83">
                  <c:v>3924.189758484507</c:v>
                </c:pt>
                <c:pt idx="84">
                  <c:v>4216.96503428579</c:v>
                </c:pt>
                <c:pt idx="85">
                  <c:v>4531.583637600784</c:v>
                </c:pt>
                <c:pt idx="86">
                  <c:v>4869.675251658593</c:v>
                </c:pt>
                <c:pt idx="87">
                  <c:v>5232.991146814906</c:v>
                </c:pt>
                <c:pt idx="88">
                  <c:v>5623.413251903447</c:v>
                </c:pt>
                <c:pt idx="89">
                  <c:v>6042.963902381281</c:v>
                </c:pt>
                <c:pt idx="90">
                  <c:v>6493.816315762061</c:v>
                </c:pt>
                <c:pt idx="91">
                  <c:v>6978.305848598606</c:v>
                </c:pt>
                <c:pt idx="92">
                  <c:v>7498.942093324496</c:v>
                </c:pt>
                <c:pt idx="93">
                  <c:v>8058.421877614751</c:v>
                </c:pt>
                <c:pt idx="94">
                  <c:v>8659.64323360058</c:v>
                </c:pt>
                <c:pt idx="95">
                  <c:v>9305.72040929691</c:v>
                </c:pt>
                <c:pt idx="96">
                  <c:v>9999.999999999913</c:v>
                </c:pt>
              </c:numCache>
            </c:numRef>
          </c:xVal>
          <c:yVal>
            <c:numRef>
              <c:f>fourCells!$H$5:$H$101</c:f>
              <c:numCache>
                <c:formatCode>General</c:formatCode>
                <c:ptCount val="97"/>
                <c:pt idx="0">
                  <c:v>5512.0</c:v>
                </c:pt>
                <c:pt idx="1">
                  <c:v>5129.0</c:v>
                </c:pt>
                <c:pt idx="2">
                  <c:v>4773.0</c:v>
                </c:pt>
                <c:pt idx="3">
                  <c:v>4442.0</c:v>
                </c:pt>
                <c:pt idx="4">
                  <c:v>4133.0</c:v>
                </c:pt>
                <c:pt idx="5">
                  <c:v>3846.0</c:v>
                </c:pt>
                <c:pt idx="6">
                  <c:v>6443.0</c:v>
                </c:pt>
                <c:pt idx="7">
                  <c:v>5996.0</c:v>
                </c:pt>
                <c:pt idx="8">
                  <c:v>5579.0</c:v>
                </c:pt>
                <c:pt idx="9">
                  <c:v>5192.0</c:v>
                </c:pt>
                <c:pt idx="10">
                  <c:v>4831.0</c:v>
                </c:pt>
                <c:pt idx="11">
                  <c:v>4496.0</c:v>
                </c:pt>
                <c:pt idx="12">
                  <c:v>6043.0</c:v>
                </c:pt>
                <c:pt idx="13">
                  <c:v>5624.0</c:v>
                </c:pt>
                <c:pt idx="14">
                  <c:v>5233.0</c:v>
                </c:pt>
                <c:pt idx="15">
                  <c:v>6369.0</c:v>
                </c:pt>
                <c:pt idx="16">
                  <c:v>5926.0</c:v>
                </c:pt>
                <c:pt idx="17">
                  <c:v>5515.0</c:v>
                </c:pt>
                <c:pt idx="18">
                  <c:v>6340.0</c:v>
                </c:pt>
                <c:pt idx="19">
                  <c:v>5899.0</c:v>
                </c:pt>
                <c:pt idx="20">
                  <c:v>5490.0</c:v>
                </c:pt>
                <c:pt idx="21">
                  <c:v>6082.0</c:v>
                </c:pt>
                <c:pt idx="22">
                  <c:v>5660.0</c:v>
                </c:pt>
                <c:pt idx="23">
                  <c:v>6109.0</c:v>
                </c:pt>
                <c:pt idx="24">
                  <c:v>6469.0</c:v>
                </c:pt>
                <c:pt idx="25">
                  <c:v>6020.0</c:v>
                </c:pt>
                <c:pt idx="26">
                  <c:v>6281.0</c:v>
                </c:pt>
                <c:pt idx="27">
                  <c:v>6477.0</c:v>
                </c:pt>
                <c:pt idx="28">
                  <c:v>6027.0</c:v>
                </c:pt>
                <c:pt idx="29">
                  <c:v>6156.0</c:v>
                </c:pt>
                <c:pt idx="30">
                  <c:v>6238.0</c:v>
                </c:pt>
                <c:pt idx="31">
                  <c:v>6279.0</c:v>
                </c:pt>
                <c:pt idx="32">
                  <c:v>6284.0</c:v>
                </c:pt>
                <c:pt idx="33">
                  <c:v>6258.0</c:v>
                </c:pt>
                <c:pt idx="34">
                  <c:v>6205.0</c:v>
                </c:pt>
                <c:pt idx="35">
                  <c:v>6130.0</c:v>
                </c:pt>
                <c:pt idx="36">
                  <c:v>6366.0</c:v>
                </c:pt>
                <c:pt idx="37">
                  <c:v>6231.0</c:v>
                </c:pt>
                <c:pt idx="38">
                  <c:v>6371.0</c:v>
                </c:pt>
                <c:pt idx="39">
                  <c:v>6462.0</c:v>
                </c:pt>
                <c:pt idx="40">
                  <c:v>6261.0</c:v>
                </c:pt>
                <c:pt idx="41">
                  <c:v>6288.0</c:v>
                </c:pt>
                <c:pt idx="42">
                  <c:v>6281.0</c:v>
                </c:pt>
                <c:pt idx="43">
                  <c:v>6444.0</c:v>
                </c:pt>
                <c:pt idx="44">
                  <c:v>6369.0</c:v>
                </c:pt>
                <c:pt idx="45">
                  <c:v>6446.0</c:v>
                </c:pt>
                <c:pt idx="46">
                  <c:v>6481.0</c:v>
                </c:pt>
                <c:pt idx="47">
                  <c:v>6481.0</c:v>
                </c:pt>
                <c:pt idx="48">
                  <c:v>6449.0</c:v>
                </c:pt>
                <c:pt idx="49">
                  <c:v>6391.0</c:v>
                </c:pt>
                <c:pt idx="50">
                  <c:v>6430.0</c:v>
                </c:pt>
                <c:pt idx="51">
                  <c:v>6433.0</c:v>
                </c:pt>
                <c:pt idx="52">
                  <c:v>6405.0</c:v>
                </c:pt>
                <c:pt idx="53">
                  <c:v>6447.0</c:v>
                </c:pt>
                <c:pt idx="54">
                  <c:v>6452.0</c:v>
                </c:pt>
                <c:pt idx="55">
                  <c:v>6425.0</c:v>
                </c:pt>
                <c:pt idx="56">
                  <c:v>6450.0</c:v>
                </c:pt>
                <c:pt idx="57">
                  <c:v>6440.0</c:v>
                </c:pt>
                <c:pt idx="58">
                  <c:v>6468.0</c:v>
                </c:pt>
                <c:pt idx="59">
                  <c:v>6461.0</c:v>
                </c:pt>
                <c:pt idx="60">
                  <c:v>6483.0</c:v>
                </c:pt>
                <c:pt idx="61">
                  <c:v>6471.0</c:v>
                </c:pt>
                <c:pt idx="62">
                  <c:v>6480.0</c:v>
                </c:pt>
                <c:pt idx="63">
                  <c:v>6456.0</c:v>
                </c:pt>
                <c:pt idx="64">
                  <c:v>6449.0</c:v>
                </c:pt>
                <c:pt idx="65">
                  <c:v>6453.0</c:v>
                </c:pt>
                <c:pt idx="66">
                  <c:v>6463.0</c:v>
                </c:pt>
                <c:pt idx="67">
                  <c:v>6476.0</c:v>
                </c:pt>
                <c:pt idx="68">
                  <c:v>6456.0</c:v>
                </c:pt>
                <c:pt idx="69">
                  <c:v>6470.0</c:v>
                </c:pt>
                <c:pt idx="70">
                  <c:v>6479.0</c:v>
                </c:pt>
                <c:pt idx="71">
                  <c:v>6482.0</c:v>
                </c:pt>
                <c:pt idx="72">
                  <c:v>6478.0</c:v>
                </c:pt>
                <c:pt idx="73">
                  <c:v>6467.0</c:v>
                </c:pt>
                <c:pt idx="74">
                  <c:v>6469.0</c:v>
                </c:pt>
                <c:pt idx="75">
                  <c:v>6479.0</c:v>
                </c:pt>
                <c:pt idx="76">
                  <c:v>6476.0</c:v>
                </c:pt>
                <c:pt idx="77">
                  <c:v>6476.0</c:v>
                </c:pt>
                <c:pt idx="78">
                  <c:v>6477.0</c:v>
                </c:pt>
                <c:pt idx="79">
                  <c:v>6477.0</c:v>
                </c:pt>
                <c:pt idx="80">
                  <c:v>6474.0</c:v>
                </c:pt>
                <c:pt idx="81">
                  <c:v>6478.0</c:v>
                </c:pt>
                <c:pt idx="82">
                  <c:v>6475.0</c:v>
                </c:pt>
                <c:pt idx="83">
                  <c:v>6475.0</c:v>
                </c:pt>
                <c:pt idx="84">
                  <c:v>6475.0</c:v>
                </c:pt>
                <c:pt idx="85">
                  <c:v>6483.0</c:v>
                </c:pt>
                <c:pt idx="86">
                  <c:v>6477.0</c:v>
                </c:pt>
                <c:pt idx="87">
                  <c:v>6482.0</c:v>
                </c:pt>
                <c:pt idx="88">
                  <c:v>6479.0</c:v>
                </c:pt>
                <c:pt idx="89">
                  <c:v>6482.0</c:v>
                </c:pt>
                <c:pt idx="90">
                  <c:v>6480.0</c:v>
                </c:pt>
                <c:pt idx="91">
                  <c:v>6479.0</c:v>
                </c:pt>
                <c:pt idx="92">
                  <c:v>6482.0</c:v>
                </c:pt>
                <c:pt idx="93">
                  <c:v>6480.0</c:v>
                </c:pt>
                <c:pt idx="94">
                  <c:v>6484.0</c:v>
                </c:pt>
                <c:pt idx="95">
                  <c:v>6484.0</c:v>
                </c:pt>
                <c:pt idx="96">
                  <c:v>6483.0</c:v>
                </c:pt>
              </c:numCache>
            </c:numRef>
          </c:yVal>
          <c:smooth val="0"/>
        </c:ser>
        <c:ser>
          <c:idx val="1"/>
          <c:order val="1"/>
          <c:xVal>
            <c:numRef>
              <c:f>fourCells!$B$5:$B$101</c:f>
              <c:numCache>
                <c:formatCode>0.00</c:formatCode>
                <c:ptCount val="97"/>
                <c:pt idx="0">
                  <c:v>10.0</c:v>
                </c:pt>
                <c:pt idx="1">
                  <c:v>10.74607828321317</c:v>
                </c:pt>
                <c:pt idx="2">
                  <c:v>11.54781984689458</c:v>
                </c:pt>
                <c:pt idx="3">
                  <c:v>12.40937760751719</c:v>
                </c:pt>
                <c:pt idx="4">
                  <c:v>13.33521432163324</c:v>
                </c:pt>
                <c:pt idx="5">
                  <c:v>14.33012570236962</c:v>
                </c:pt>
                <c:pt idx="6">
                  <c:v>15.39926526059491</c:v>
                </c:pt>
                <c:pt idx="7">
                  <c:v>16.5481709994318</c:v>
                </c:pt>
                <c:pt idx="8">
                  <c:v>17.78279410038921</c:v>
                </c:pt>
                <c:pt idx="9">
                  <c:v>19.10952974970439</c:v>
                </c:pt>
                <c:pt idx="10">
                  <c:v>20.53525026457144</c:v>
                </c:pt>
                <c:pt idx="11">
                  <c:v>22.06734069084587</c:v>
                </c:pt>
                <c:pt idx="12">
                  <c:v>23.71373705661653</c:v>
                </c:pt>
                <c:pt idx="13">
                  <c:v>25.48296747979343</c:v>
                </c:pt>
                <c:pt idx="14">
                  <c:v>27.38419634264358</c:v>
                </c:pt>
                <c:pt idx="15">
                  <c:v>29.42727176209277</c:v>
                </c:pt>
                <c:pt idx="16">
                  <c:v>31.62277660168375</c:v>
                </c:pt>
                <c:pt idx="17">
                  <c:v>33.98208328942554</c:v>
                </c:pt>
                <c:pt idx="18">
                  <c:v>36.51741272548371</c:v>
                </c:pt>
                <c:pt idx="19">
                  <c:v>39.24189758484529</c:v>
                </c:pt>
                <c:pt idx="20">
                  <c:v>42.16965034285814</c:v>
                </c:pt>
                <c:pt idx="21">
                  <c:v>45.3158363760081</c:v>
                </c:pt>
                <c:pt idx="22">
                  <c:v>48.69675251658621</c:v>
                </c:pt>
                <c:pt idx="23">
                  <c:v>52.32991146814936</c:v>
                </c:pt>
                <c:pt idx="24">
                  <c:v>56.23413251903478</c:v>
                </c:pt>
                <c:pt idx="25">
                  <c:v>60.42963902381315</c:v>
                </c:pt>
                <c:pt idx="26">
                  <c:v>64.93816315762098</c:v>
                </c:pt>
                <c:pt idx="27">
                  <c:v>69.78305848598645</c:v>
                </c:pt>
                <c:pt idx="28">
                  <c:v>74.98942093324538</c:v>
                </c:pt>
                <c:pt idx="29">
                  <c:v>80.58421877614796</c:v>
                </c:pt>
                <c:pt idx="30">
                  <c:v>86.59643233600629</c:v>
                </c:pt>
                <c:pt idx="31">
                  <c:v>93.05720409296963</c:v>
                </c:pt>
                <c:pt idx="32">
                  <c:v>99.9999999999997</c:v>
                </c:pt>
                <c:pt idx="33">
                  <c:v>107.4607828321314</c:v>
                </c:pt>
                <c:pt idx="34">
                  <c:v>115.4781984689455</c:v>
                </c:pt>
                <c:pt idx="35">
                  <c:v>124.0937760751715</c:v>
                </c:pt>
                <c:pt idx="36">
                  <c:v>133.352143216332</c:v>
                </c:pt>
                <c:pt idx="37">
                  <c:v>143.3012570236958</c:v>
                </c:pt>
                <c:pt idx="38">
                  <c:v>153.9926526059486</c:v>
                </c:pt>
                <c:pt idx="39">
                  <c:v>165.4817099943175</c:v>
                </c:pt>
                <c:pt idx="40">
                  <c:v>177.8279410038916</c:v>
                </c:pt>
                <c:pt idx="41">
                  <c:v>191.0952974970433</c:v>
                </c:pt>
                <c:pt idx="42">
                  <c:v>205.3525026457138</c:v>
                </c:pt>
                <c:pt idx="43">
                  <c:v>220.6734069084581</c:v>
                </c:pt>
                <c:pt idx="44">
                  <c:v>237.1373705661646</c:v>
                </c:pt>
                <c:pt idx="45">
                  <c:v>254.8296747979336</c:v>
                </c:pt>
                <c:pt idx="46">
                  <c:v>273.841963426435</c:v>
                </c:pt>
                <c:pt idx="47">
                  <c:v>294.272717620927</c:v>
                </c:pt>
                <c:pt idx="48">
                  <c:v>316.2277660168365</c:v>
                </c:pt>
                <c:pt idx="49">
                  <c:v>339.8208328942544</c:v>
                </c:pt>
                <c:pt idx="50">
                  <c:v>365.174127254836</c:v>
                </c:pt>
                <c:pt idx="51">
                  <c:v>392.4189758484517</c:v>
                </c:pt>
                <c:pt idx="52">
                  <c:v>421.6965034285802</c:v>
                </c:pt>
                <c:pt idx="53">
                  <c:v>453.1583637600796</c:v>
                </c:pt>
                <c:pt idx="54">
                  <c:v>486.9675251658607</c:v>
                </c:pt>
                <c:pt idx="55">
                  <c:v>523.299114681492</c:v>
                </c:pt>
                <c:pt idx="56">
                  <c:v>562.3413251903462</c:v>
                </c:pt>
                <c:pt idx="57">
                  <c:v>604.2963902381296</c:v>
                </c:pt>
                <c:pt idx="58">
                  <c:v>649.3816315762078</c:v>
                </c:pt>
                <c:pt idx="59">
                  <c:v>697.8305848598626</c:v>
                </c:pt>
                <c:pt idx="60">
                  <c:v>749.8942093324517</c:v>
                </c:pt>
                <c:pt idx="61">
                  <c:v>805.8421877614774</c:v>
                </c:pt>
                <c:pt idx="62">
                  <c:v>865.9643233600604</c:v>
                </c:pt>
                <c:pt idx="63">
                  <c:v>930.5720409296936</c:v>
                </c:pt>
                <c:pt idx="64">
                  <c:v>999.9999999999942</c:v>
                </c:pt>
                <c:pt idx="65">
                  <c:v>1074.607828321311</c:v>
                </c:pt>
                <c:pt idx="66">
                  <c:v>1154.781984689451</c:v>
                </c:pt>
                <c:pt idx="67">
                  <c:v>1240.937760751712</c:v>
                </c:pt>
                <c:pt idx="68">
                  <c:v>1333.521432163316</c:v>
                </c:pt>
                <c:pt idx="69">
                  <c:v>1433.012570236954</c:v>
                </c:pt>
                <c:pt idx="70">
                  <c:v>1539.926526059482</c:v>
                </c:pt>
                <c:pt idx="71">
                  <c:v>1654.817099943171</c:v>
                </c:pt>
                <c:pt idx="72">
                  <c:v>1778.279410038911</c:v>
                </c:pt>
                <c:pt idx="73">
                  <c:v>1910.952974970428</c:v>
                </c:pt>
                <c:pt idx="74">
                  <c:v>2053.525026457132</c:v>
                </c:pt>
                <c:pt idx="75">
                  <c:v>2206.734069084575</c:v>
                </c:pt>
                <c:pt idx="76">
                  <c:v>2371.37370566164</c:v>
                </c:pt>
                <c:pt idx="77">
                  <c:v>2548.29674797933</c:v>
                </c:pt>
                <c:pt idx="78">
                  <c:v>2738.419634264343</c:v>
                </c:pt>
                <c:pt idx="79">
                  <c:v>2942.727176209261</c:v>
                </c:pt>
                <c:pt idx="80">
                  <c:v>3162.277660168357</c:v>
                </c:pt>
                <c:pt idx="81">
                  <c:v>3398.208328942535</c:v>
                </c:pt>
                <c:pt idx="82">
                  <c:v>3651.741272548351</c:v>
                </c:pt>
                <c:pt idx="83">
                  <c:v>3924.189758484507</c:v>
                </c:pt>
                <c:pt idx="84">
                  <c:v>4216.96503428579</c:v>
                </c:pt>
                <c:pt idx="85">
                  <c:v>4531.583637600784</c:v>
                </c:pt>
                <c:pt idx="86">
                  <c:v>4869.675251658593</c:v>
                </c:pt>
                <c:pt idx="87">
                  <c:v>5232.991146814906</c:v>
                </c:pt>
                <c:pt idx="88">
                  <c:v>5623.413251903447</c:v>
                </c:pt>
                <c:pt idx="89">
                  <c:v>6042.963902381281</c:v>
                </c:pt>
                <c:pt idx="90">
                  <c:v>6493.816315762061</c:v>
                </c:pt>
                <c:pt idx="91">
                  <c:v>6978.305848598606</c:v>
                </c:pt>
                <c:pt idx="92">
                  <c:v>7498.942093324496</c:v>
                </c:pt>
                <c:pt idx="93">
                  <c:v>8058.421877614751</c:v>
                </c:pt>
                <c:pt idx="94">
                  <c:v>8659.64323360058</c:v>
                </c:pt>
                <c:pt idx="95">
                  <c:v>9305.72040929691</c:v>
                </c:pt>
                <c:pt idx="96">
                  <c:v>9999.999999999913</c:v>
                </c:pt>
              </c:numCache>
            </c:numRef>
          </c:xVal>
          <c:yVal>
            <c:numRef>
              <c:f>fourCells!$K$5:$K$101</c:f>
              <c:numCache>
                <c:formatCode>General</c:formatCode>
                <c:ptCount val="97"/>
                <c:pt idx="0">
                  <c:v>5.0</c:v>
                </c:pt>
                <c:pt idx="1">
                  <c:v>5.0</c:v>
                </c:pt>
                <c:pt idx="2">
                  <c:v>5.0</c:v>
                </c:pt>
                <c:pt idx="3">
                  <c:v>5</c:v>
                </c:pt>
                <c:pt idx="4">
                  <c:v>5.0</c:v>
                </c:pt>
                <c:pt idx="5">
                  <c:v>5.0</c:v>
                </c:pt>
                <c:pt idx="6">
                  <c:v>9.0</c:v>
                </c:pt>
                <c:pt idx="7">
                  <c:v>9.0</c:v>
                </c:pt>
                <c:pt idx="8">
                  <c:v>9.0</c:v>
                </c:pt>
                <c:pt idx="9">
                  <c:v>9.000000000000001</c:v>
                </c:pt>
                <c:pt idx="10">
                  <c:v>9.000000000000001</c:v>
                </c:pt>
                <c:pt idx="11">
                  <c:v>9.0</c:v>
                </c:pt>
                <c:pt idx="12">
                  <c:v>13.0</c:v>
                </c:pt>
                <c:pt idx="13">
                  <c:v>13.0</c:v>
                </c:pt>
                <c:pt idx="14">
                  <c:v>13.0</c:v>
                </c:pt>
                <c:pt idx="15">
                  <c:v>17.0</c:v>
                </c:pt>
                <c:pt idx="16">
                  <c:v>17</c:v>
                </c:pt>
                <c:pt idx="17">
                  <c:v>17.0</c:v>
                </c:pt>
                <c:pt idx="18">
                  <c:v>21</c:v>
                </c:pt>
                <c:pt idx="19">
                  <c:v>21.0</c:v>
                </c:pt>
                <c:pt idx="20">
                  <c:v>21</c:v>
                </c:pt>
                <c:pt idx="21">
                  <c:v>25.0</c:v>
                </c:pt>
                <c:pt idx="22">
                  <c:v>25.0</c:v>
                </c:pt>
                <c:pt idx="23">
                  <c:v>29.0</c:v>
                </c:pt>
                <c:pt idx="24">
                  <c:v>33.0</c:v>
                </c:pt>
                <c:pt idx="25">
                  <c:v>33.0</c:v>
                </c:pt>
                <c:pt idx="26">
                  <c:v>37.00000000000001</c:v>
                </c:pt>
                <c:pt idx="27">
                  <c:v>41.0</c:v>
                </c:pt>
                <c:pt idx="28">
                  <c:v>41.0</c:v>
                </c:pt>
                <c:pt idx="29">
                  <c:v>45.0</c:v>
                </c:pt>
                <c:pt idx="30">
                  <c:v>49</c:v>
                </c:pt>
                <c:pt idx="31">
                  <c:v>53.0</c:v>
                </c:pt>
                <c:pt idx="32">
                  <c:v>57.0</c:v>
                </c:pt>
                <c:pt idx="33">
                  <c:v>61.0</c:v>
                </c:pt>
                <c:pt idx="34">
                  <c:v>65.0</c:v>
                </c:pt>
                <c:pt idx="35">
                  <c:v>69.0</c:v>
                </c:pt>
                <c:pt idx="36">
                  <c:v>77.00000000000001</c:v>
                </c:pt>
                <c:pt idx="37">
                  <c:v>81.0</c:v>
                </c:pt>
                <c:pt idx="38">
                  <c:v>89.0</c:v>
                </c:pt>
                <c:pt idx="39">
                  <c:v>97.0</c:v>
                </c:pt>
                <c:pt idx="40">
                  <c:v>101.0</c:v>
                </c:pt>
                <c:pt idx="41">
                  <c:v>109.0</c:v>
                </c:pt>
                <c:pt idx="42">
                  <c:v>117.0</c:v>
                </c:pt>
                <c:pt idx="43">
                  <c:v>129.0</c:v>
                </c:pt>
                <c:pt idx="44">
                  <c:v>137.0</c:v>
                </c:pt>
                <c:pt idx="45">
                  <c:v>149.0</c:v>
                </c:pt>
                <c:pt idx="46">
                  <c:v>161.0</c:v>
                </c:pt>
                <c:pt idx="47">
                  <c:v>173.0</c:v>
                </c:pt>
                <c:pt idx="48">
                  <c:v>185.0</c:v>
                </c:pt>
                <c:pt idx="49">
                  <c:v>197.0</c:v>
                </c:pt>
                <c:pt idx="50">
                  <c:v>213.0</c:v>
                </c:pt>
                <c:pt idx="51">
                  <c:v>229.0</c:v>
                </c:pt>
                <c:pt idx="52">
                  <c:v>245.0</c:v>
                </c:pt>
                <c:pt idx="53">
                  <c:v>265.0</c:v>
                </c:pt>
                <c:pt idx="54">
                  <c:v>285.0</c:v>
                </c:pt>
                <c:pt idx="55">
                  <c:v>305.0</c:v>
                </c:pt>
                <c:pt idx="56">
                  <c:v>329.0</c:v>
                </c:pt>
                <c:pt idx="57">
                  <c:v>352.9999999999999</c:v>
                </c:pt>
                <c:pt idx="58">
                  <c:v>381.0</c:v>
                </c:pt>
                <c:pt idx="59">
                  <c:v>409.0</c:v>
                </c:pt>
                <c:pt idx="60">
                  <c:v>441.0</c:v>
                </c:pt>
                <c:pt idx="61">
                  <c:v>472.9999999999999</c:v>
                </c:pt>
                <c:pt idx="62">
                  <c:v>509.0</c:v>
                </c:pt>
                <c:pt idx="63">
                  <c:v>545.0</c:v>
                </c:pt>
                <c:pt idx="64">
                  <c:v>585.0</c:v>
                </c:pt>
                <c:pt idx="65">
                  <c:v>629.0</c:v>
                </c:pt>
                <c:pt idx="66">
                  <c:v>677.0</c:v>
                </c:pt>
                <c:pt idx="67">
                  <c:v>728.9999999999999</c:v>
                </c:pt>
                <c:pt idx="68">
                  <c:v>781.0</c:v>
                </c:pt>
                <c:pt idx="69">
                  <c:v>841.0000000000001</c:v>
                </c:pt>
                <c:pt idx="70">
                  <c:v>905.0</c:v>
                </c:pt>
                <c:pt idx="71">
                  <c:v>973.0</c:v>
                </c:pt>
                <c:pt idx="72">
                  <c:v>1045.0</c:v>
                </c:pt>
                <c:pt idx="73">
                  <c:v>1121.0</c:v>
                </c:pt>
                <c:pt idx="74">
                  <c:v>1205.0</c:v>
                </c:pt>
                <c:pt idx="75">
                  <c:v>1297</c:v>
                </c:pt>
                <c:pt idx="76">
                  <c:v>1393.0</c:v>
                </c:pt>
                <c:pt idx="77">
                  <c:v>1497.0</c:v>
                </c:pt>
                <c:pt idx="78">
                  <c:v>1609.0</c:v>
                </c:pt>
                <c:pt idx="79">
                  <c:v>1729.0</c:v>
                </c:pt>
                <c:pt idx="80">
                  <c:v>1857.0</c:v>
                </c:pt>
                <c:pt idx="81">
                  <c:v>1997.0</c:v>
                </c:pt>
                <c:pt idx="82">
                  <c:v>2145.0</c:v>
                </c:pt>
                <c:pt idx="83">
                  <c:v>2305.0</c:v>
                </c:pt>
                <c:pt idx="84">
                  <c:v>2477.0</c:v>
                </c:pt>
                <c:pt idx="85">
                  <c:v>2665.0</c:v>
                </c:pt>
                <c:pt idx="86">
                  <c:v>2861.0</c:v>
                </c:pt>
                <c:pt idx="87">
                  <c:v>3077.0</c:v>
                </c:pt>
                <c:pt idx="88">
                  <c:v>3305.0</c:v>
                </c:pt>
                <c:pt idx="89">
                  <c:v>3553.0</c:v>
                </c:pt>
                <c:pt idx="90">
                  <c:v>3817.0</c:v>
                </c:pt>
                <c:pt idx="91">
                  <c:v>4101.0</c:v>
                </c:pt>
                <c:pt idx="92">
                  <c:v>4409.0</c:v>
                </c:pt>
                <c:pt idx="93">
                  <c:v>4737.0</c:v>
                </c:pt>
                <c:pt idx="94">
                  <c:v>5093.0</c:v>
                </c:pt>
                <c:pt idx="95">
                  <c:v>5473</c:v>
                </c:pt>
                <c:pt idx="96">
                  <c:v>5881.0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455384"/>
        <c:axId val="2116245992"/>
      </c:scatterChart>
      <c:valAx>
        <c:axId val="2083455384"/>
        <c:scaling>
          <c:logBase val="10.0"/>
          <c:orientation val="minMax"/>
          <c:max val="10000.0"/>
          <c:min val="10.0"/>
        </c:scaling>
        <c:delete val="0"/>
        <c:axPos val="b"/>
        <c:majorGridlines/>
        <c:minorGridlines/>
        <c:numFmt formatCode="0.00" sourceLinked="1"/>
        <c:majorTickMark val="out"/>
        <c:minorTickMark val="cross"/>
        <c:tickLblPos val="nextTo"/>
        <c:crossAx val="2116245992"/>
        <c:crosses val="autoZero"/>
        <c:crossBetween val="midCat"/>
        <c:majorUnit val="10.0"/>
        <c:minorUnit val="10.0"/>
      </c:valAx>
      <c:valAx>
        <c:axId val="2116245992"/>
        <c:scaling>
          <c:logBase val="10.0"/>
          <c:orientation val="minMax"/>
          <c:max val="30000.0"/>
          <c:min val="3.0"/>
        </c:scaling>
        <c:delete val="0"/>
        <c:axPos val="l"/>
        <c:majorGridlines/>
        <c:minorGridlines/>
        <c:numFmt formatCode="General" sourceLinked="1"/>
        <c:majorTickMark val="out"/>
        <c:minorTickMark val="cross"/>
        <c:tickLblPos val="nextTo"/>
        <c:crossAx val="2083455384"/>
        <c:crosses val="autoZero"/>
        <c:crossBetween val="midCat"/>
        <c:majorUnit val="10.0"/>
        <c:minorUnit val="10.0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fourCells!$J$5:$J$101</c:f>
              <c:numCache>
                <c:formatCode>0.0000%</c:formatCode>
                <c:ptCount val="97"/>
                <c:pt idx="0">
                  <c:v>9.07111756167644E-5</c:v>
                </c:pt>
                <c:pt idx="1">
                  <c:v>0.000151759724111189</c:v>
                </c:pt>
                <c:pt idx="2">
                  <c:v>0.000131643101269896</c:v>
                </c:pt>
                <c:pt idx="3">
                  <c:v>4.61638980568946E-5</c:v>
                </c:pt>
                <c:pt idx="4">
                  <c:v>0.000191586969553459</c:v>
                </c:pt>
                <c:pt idx="5">
                  <c:v>0.000205693978162946</c:v>
                </c:pt>
                <c:pt idx="6">
                  <c:v>7.59334649946819E-5</c:v>
                </c:pt>
                <c:pt idx="7">
                  <c:v>2.18365806998744E-5</c:v>
                </c:pt>
                <c:pt idx="8">
                  <c:v>0.000149094676688</c:v>
                </c:pt>
                <c:pt idx="9">
                  <c:v>8.38723858120893E-5</c:v>
                </c:pt>
                <c:pt idx="10">
                  <c:v>0.000193597279710467</c:v>
                </c:pt>
                <c:pt idx="11">
                  <c:v>0.000103172688927122</c:v>
                </c:pt>
                <c:pt idx="12">
                  <c:v>0.000159711300705245</c:v>
                </c:pt>
                <c:pt idx="13">
                  <c:v>6.13391443755606E-5</c:v>
                </c:pt>
                <c:pt idx="14">
                  <c:v>0.000163993670928342</c:v>
                </c:pt>
                <c:pt idx="15">
                  <c:v>1.44387691318748E-5</c:v>
                </c:pt>
                <c:pt idx="16">
                  <c:v>0.000151688250184412</c:v>
                </c:pt>
                <c:pt idx="17">
                  <c:v>7.36917516328539E-5</c:v>
                </c:pt>
                <c:pt idx="18">
                  <c:v>1.98830016675533E-5</c:v>
                </c:pt>
                <c:pt idx="19">
                  <c:v>0.000160034880351434</c:v>
                </c:pt>
                <c:pt idx="20">
                  <c:v>5.88291499374893E-5</c:v>
                </c:pt>
                <c:pt idx="21">
                  <c:v>5.10979800085742E-5</c:v>
                </c:pt>
                <c:pt idx="22">
                  <c:v>5.00957111659872E-6</c:v>
                </c:pt>
                <c:pt idx="23">
                  <c:v>0.000130037522385606</c:v>
                </c:pt>
                <c:pt idx="24">
                  <c:v>0.000127541130642284</c:v>
                </c:pt>
                <c:pt idx="25">
                  <c:v>0.000106032204035378</c:v>
                </c:pt>
                <c:pt idx="26">
                  <c:v>0.00011865649230991</c:v>
                </c:pt>
                <c:pt idx="27">
                  <c:v>8.87865699625845E-5</c:v>
                </c:pt>
                <c:pt idx="28">
                  <c:v>0.000141074122495644</c:v>
                </c:pt>
                <c:pt idx="29">
                  <c:v>9.78663953030701E-5</c:v>
                </c:pt>
                <c:pt idx="30">
                  <c:v>6.7485859032157E-5</c:v>
                </c:pt>
                <c:pt idx="31">
                  <c:v>3.22014394900094E-5</c:v>
                </c:pt>
                <c:pt idx="32">
                  <c:v>3.9783577342245E-5</c:v>
                </c:pt>
                <c:pt idx="33">
                  <c:v>5.26715024733448E-5</c:v>
                </c:pt>
                <c:pt idx="34">
                  <c:v>0.000115524944252821</c:v>
                </c:pt>
                <c:pt idx="35">
                  <c:v>3.96383113463461E-5</c:v>
                </c:pt>
                <c:pt idx="36">
                  <c:v>6.19173351767976E-6</c:v>
                </c:pt>
                <c:pt idx="37">
                  <c:v>0.000128643948779317</c:v>
                </c:pt>
                <c:pt idx="38">
                  <c:v>0.000140466870774292</c:v>
                </c:pt>
                <c:pt idx="39">
                  <c:v>7.6860307052895E-5</c:v>
                </c:pt>
                <c:pt idx="40">
                  <c:v>0.000129570567937831</c:v>
                </c:pt>
                <c:pt idx="41">
                  <c:v>9.80098451361933E-5</c:v>
                </c:pt>
                <c:pt idx="42">
                  <c:v>8.21284820544665E-5</c:v>
                </c:pt>
                <c:pt idx="43">
                  <c:v>0.000144559122726262</c:v>
                </c:pt>
                <c:pt idx="44">
                  <c:v>6.42819769491876E-5</c:v>
                </c:pt>
                <c:pt idx="45">
                  <c:v>5.656546797006E-5</c:v>
                </c:pt>
                <c:pt idx="46">
                  <c:v>0.000143813038915308</c:v>
                </c:pt>
                <c:pt idx="47">
                  <c:v>7.52508872696733E-5</c:v>
                </c:pt>
                <c:pt idx="48">
                  <c:v>0.000133442800583028</c:v>
                </c:pt>
                <c:pt idx="49">
                  <c:v>5.98845545880522E-5</c:v>
                </c:pt>
                <c:pt idx="50">
                  <c:v>0.000108753908846904</c:v>
                </c:pt>
                <c:pt idx="51">
                  <c:v>0.000116354273618224</c:v>
                </c:pt>
                <c:pt idx="52">
                  <c:v>5.88291499405979E-5</c:v>
                </c:pt>
                <c:pt idx="53">
                  <c:v>3.86884735996684E-5</c:v>
                </c:pt>
                <c:pt idx="54">
                  <c:v>6.700616191746E-5</c:v>
                </c:pt>
                <c:pt idx="55">
                  <c:v>0.000127353690273946</c:v>
                </c:pt>
                <c:pt idx="56">
                  <c:v>3.4036136196125E-5</c:v>
                </c:pt>
                <c:pt idx="57">
                  <c:v>4.01490662120807E-5</c:v>
                </c:pt>
                <c:pt idx="58">
                  <c:v>7.72836852320768E-5</c:v>
                </c:pt>
                <c:pt idx="59">
                  <c:v>0.000120121811918006</c:v>
                </c:pt>
                <c:pt idx="60">
                  <c:v>9.47927215673161E-5</c:v>
                </c:pt>
                <c:pt idx="61">
                  <c:v>4.22281273559921E-5</c:v>
                </c:pt>
                <c:pt idx="62">
                  <c:v>4.92180604145798E-5</c:v>
                </c:pt>
                <c:pt idx="63">
                  <c:v>0.000141800255144542</c:v>
                </c:pt>
                <c:pt idx="64">
                  <c:v>9.69142502771358E-5</c:v>
                </c:pt>
                <c:pt idx="65">
                  <c:v>4.04767606143608E-5</c:v>
                </c:pt>
                <c:pt idx="66">
                  <c:v>7.6243576561108E-5</c:v>
                </c:pt>
                <c:pt idx="67">
                  <c:v>0.000113492515644742</c:v>
                </c:pt>
                <c:pt idx="68">
                  <c:v>0.000152236185313681</c:v>
                </c:pt>
                <c:pt idx="69">
                  <c:v>4.67741244736253E-5</c:v>
                </c:pt>
                <c:pt idx="70">
                  <c:v>4.42046234969684E-5</c:v>
                </c:pt>
                <c:pt idx="71">
                  <c:v>7.46335099228723E-5</c:v>
                </c:pt>
                <c:pt idx="72">
                  <c:v>0.000124220466765079</c:v>
                </c:pt>
                <c:pt idx="73">
                  <c:v>7.21881593479523E-5</c:v>
                </c:pt>
                <c:pt idx="74">
                  <c:v>6.56118054074284E-5</c:v>
                </c:pt>
                <c:pt idx="75">
                  <c:v>0.000139533216553467</c:v>
                </c:pt>
                <c:pt idx="76">
                  <c:v>5.26718295414952E-5</c:v>
                </c:pt>
                <c:pt idx="77">
                  <c:v>0.000100301956092785</c:v>
                </c:pt>
                <c:pt idx="78">
                  <c:v>0.000139880739886022</c:v>
                </c:pt>
                <c:pt idx="79">
                  <c:v>0.000114432039177492</c:v>
                </c:pt>
                <c:pt idx="80">
                  <c:v>4.10025429913308E-5</c:v>
                </c:pt>
                <c:pt idx="81">
                  <c:v>0.000151335814479792</c:v>
                </c:pt>
                <c:pt idx="82">
                  <c:v>0.000152262908965195</c:v>
                </c:pt>
                <c:pt idx="83">
                  <c:v>0.000137600696820117</c:v>
                </c:pt>
                <c:pt idx="84">
                  <c:v>0.000149292276242496</c:v>
                </c:pt>
                <c:pt idx="85">
                  <c:v>0.000114652052568331</c:v>
                </c:pt>
                <c:pt idx="86">
                  <c:v>5.19451158049744E-5</c:v>
                </c:pt>
                <c:pt idx="87">
                  <c:v>0.000108383237034992</c:v>
                </c:pt>
                <c:pt idx="88">
                  <c:v>9.69021179195728E-5</c:v>
                </c:pt>
                <c:pt idx="89">
                  <c:v>3.40303298724809E-5</c:v>
                </c:pt>
                <c:pt idx="90">
                  <c:v>5.9298432247612E-5</c:v>
                </c:pt>
                <c:pt idx="91">
                  <c:v>2.39183473329518E-5</c:v>
                </c:pt>
                <c:pt idx="92">
                  <c:v>2.22668674758619E-5</c:v>
                </c:pt>
                <c:pt idx="93">
                  <c:v>0.000131202990855117</c:v>
                </c:pt>
                <c:pt idx="94">
                  <c:v>2.13409077522986E-5</c:v>
                </c:pt>
                <c:pt idx="95">
                  <c:v>2.54211063988041E-5</c:v>
                </c:pt>
                <c:pt idx="96">
                  <c:v>0.00012378528459922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536296"/>
        <c:axId val="2125192216"/>
      </c:lineChart>
      <c:catAx>
        <c:axId val="2124536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192216"/>
        <c:crosses val="autoZero"/>
        <c:auto val="1"/>
        <c:lblAlgn val="ctr"/>
        <c:lblOffset val="100"/>
        <c:noMultiLvlLbl val="0"/>
      </c:catAx>
      <c:valAx>
        <c:axId val="2125192216"/>
        <c:scaling>
          <c:orientation val="minMax"/>
        </c:scaling>
        <c:delete val="0"/>
        <c:axPos val="l"/>
        <c:majorGridlines/>
        <c:numFmt formatCode="0.0000%" sourceLinked="1"/>
        <c:majorTickMark val="out"/>
        <c:minorTickMark val="none"/>
        <c:tickLblPos val="nextTo"/>
        <c:crossAx val="2124536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33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4662" cy="562428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13</xdr:row>
      <xdr:rowOff>139700</xdr:rowOff>
    </xdr:from>
    <xdr:to>
      <xdr:col>14</xdr:col>
      <xdr:colOff>863600</xdr:colOff>
      <xdr:row>28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opLeftCell="A5" workbookViewId="0">
      <selection activeCell="N34" sqref="N34"/>
    </sheetView>
  </sheetViews>
  <sheetFormatPr baseColWidth="10" defaultColWidth="9.5" defaultRowHeight="15" x14ac:dyDescent="0"/>
  <cols>
    <col min="1" max="1" width="9.5" style="1"/>
    <col min="2" max="2" width="9.5" style="2"/>
    <col min="3" max="5" width="9.5" style="1"/>
    <col min="6" max="7" width="9.5" style="4"/>
    <col min="8" max="8" width="9.5" style="5"/>
    <col min="9" max="9" width="9.5" style="6"/>
    <col min="10" max="10" width="9.5" style="7"/>
    <col min="11" max="11" width="9.5" style="1"/>
    <col min="12" max="12" width="9.5" style="2"/>
    <col min="13" max="16384" width="9.5" style="1"/>
  </cols>
  <sheetData>
    <row r="1" spans="1:12">
      <c r="E1" s="1" t="s">
        <v>12</v>
      </c>
      <c r="H1" s="5" t="s">
        <v>8</v>
      </c>
    </row>
    <row r="2" spans="1:12">
      <c r="E2" s="1" t="s">
        <v>13</v>
      </c>
      <c r="F2" s="4" t="s">
        <v>15</v>
      </c>
      <c r="G2" s="4" t="s">
        <v>15</v>
      </c>
      <c r="H2" s="5" t="s">
        <v>5</v>
      </c>
      <c r="K2" s="1" t="s">
        <v>7</v>
      </c>
      <c r="L2" s="2" t="s">
        <v>5</v>
      </c>
    </row>
    <row r="3" spans="1:12">
      <c r="A3" s="1" t="s">
        <v>25</v>
      </c>
      <c r="B3" s="2" t="s">
        <v>3</v>
      </c>
      <c r="E3" s="1" t="s">
        <v>17</v>
      </c>
      <c r="F3" s="4" t="s">
        <v>18</v>
      </c>
      <c r="G3" s="4" t="s">
        <v>14</v>
      </c>
      <c r="H3" s="5" t="s">
        <v>14</v>
      </c>
      <c r="I3" s="6" t="s">
        <v>9</v>
      </c>
      <c r="J3" s="7" t="s">
        <v>21</v>
      </c>
      <c r="K3" s="1" t="s">
        <v>23</v>
      </c>
      <c r="L3" s="2" t="s">
        <v>14</v>
      </c>
    </row>
    <row r="4" spans="1:12">
      <c r="A4" s="1" t="s">
        <v>24</v>
      </c>
      <c r="B4" s="2" t="s">
        <v>4</v>
      </c>
      <c r="C4" s="1" t="s">
        <v>6</v>
      </c>
      <c r="D4" s="1" t="s">
        <v>0</v>
      </c>
      <c r="E4" s="1" t="s">
        <v>1</v>
      </c>
      <c r="F4" s="4" t="s">
        <v>16</v>
      </c>
      <c r="G4" s="4" t="s">
        <v>19</v>
      </c>
      <c r="H4" s="5" t="s">
        <v>19</v>
      </c>
      <c r="I4" s="6" t="s">
        <v>10</v>
      </c>
      <c r="J4" s="7" t="s">
        <v>20</v>
      </c>
      <c r="K4" s="1" t="s">
        <v>22</v>
      </c>
      <c r="L4" s="2" t="s">
        <v>16</v>
      </c>
    </row>
    <row r="5" spans="1:12">
      <c r="A5" s="1">
        <v>44100</v>
      </c>
      <c r="B5" s="2">
        <v>10</v>
      </c>
      <c r="C5" s="1">
        <v>1</v>
      </c>
      <c r="D5" s="1">
        <f>INT((B5/1.7-1)/4)</f>
        <v>1</v>
      </c>
      <c r="E5" s="1">
        <f>4*D5+1</f>
        <v>5</v>
      </c>
      <c r="F5" s="4">
        <f t="shared" ref="F5:F36" si="0">1/B5/4</f>
        <v>2.5000000000000001E-2</v>
      </c>
      <c r="G5" s="4">
        <f t="shared" ref="G5:G36" si="1">E5*F5</f>
        <v>0.125</v>
      </c>
      <c r="H5" s="5">
        <f t="shared" ref="H5:H36" si="2">INT(G5*_rate)</f>
        <v>5512</v>
      </c>
      <c r="I5" s="2">
        <f t="shared" ref="I5:I36" si="3">E5/H5/4*_rate</f>
        <v>10.000907111756169</v>
      </c>
      <c r="J5" s="8">
        <f t="shared" ref="J5:J36" si="4">(I5/B5-1)</f>
        <v>9.071117561676445E-5</v>
      </c>
      <c r="K5" s="1">
        <f t="shared" ref="K5:K36" si="5">4*I5*H5/_rate</f>
        <v>5</v>
      </c>
      <c r="L5" s="2">
        <f>4*H5/K5</f>
        <v>4409.6000000000004</v>
      </c>
    </row>
    <row r="6" spans="1:12">
      <c r="A6" s="1" t="s">
        <v>11</v>
      </c>
      <c r="B6" s="2">
        <f t="shared" ref="B6:B37" si="6">B5*_mult</f>
        <v>10.746078283213174</v>
      </c>
      <c r="C6" s="1">
        <f>C5+1</f>
        <v>2</v>
      </c>
      <c r="D6" s="1">
        <f t="shared" ref="D6:D69" si="7">INT((B6/1.7-1)/4)</f>
        <v>1</v>
      </c>
      <c r="E6" s="1">
        <f t="shared" ref="E6:E69" si="8">4*D6+1</f>
        <v>5</v>
      </c>
      <c r="F6" s="4">
        <f t="shared" si="0"/>
        <v>2.3264301023242475E-2</v>
      </c>
      <c r="G6" s="4">
        <f t="shared" si="1"/>
        <v>0.11632150511621238</v>
      </c>
      <c r="H6" s="5">
        <f t="shared" si="2"/>
        <v>5129</v>
      </c>
      <c r="I6" s="2">
        <f t="shared" si="3"/>
        <v>10.747709105088711</v>
      </c>
      <c r="J6" s="8">
        <f t="shared" si="4"/>
        <v>1.5175972411118899E-4</v>
      </c>
      <c r="K6" s="1">
        <f t="shared" si="5"/>
        <v>5</v>
      </c>
      <c r="L6" s="2">
        <f t="shared" ref="L6:L69" si="9">4*H6/K6</f>
        <v>4103.2</v>
      </c>
    </row>
    <row r="7" spans="1:12">
      <c r="A7" s="1">
        <v>32</v>
      </c>
      <c r="B7" s="2">
        <f t="shared" si="6"/>
        <v>11.54781984689458</v>
      </c>
      <c r="C7" s="1">
        <f t="shared" ref="C7:C70" si="10">C6+1</f>
        <v>3</v>
      </c>
      <c r="D7" s="1">
        <f t="shared" si="7"/>
        <v>1</v>
      </c>
      <c r="E7" s="1">
        <f t="shared" si="8"/>
        <v>5</v>
      </c>
      <c r="F7" s="4">
        <f t="shared" si="0"/>
        <v>2.1649108084001636E-2</v>
      </c>
      <c r="G7" s="4">
        <f t="shared" si="1"/>
        <v>0.10824554042000818</v>
      </c>
      <c r="H7" s="5">
        <f t="shared" si="2"/>
        <v>4773</v>
      </c>
      <c r="I7" s="2">
        <f t="shared" si="3"/>
        <v>11.549340037712131</v>
      </c>
      <c r="J7" s="8">
        <f t="shared" si="4"/>
        <v>1.3164310126989598E-4</v>
      </c>
      <c r="K7" s="1">
        <f t="shared" si="5"/>
        <v>5</v>
      </c>
      <c r="L7" s="2">
        <f t="shared" si="9"/>
        <v>3818.4</v>
      </c>
    </row>
    <row r="8" spans="1:12">
      <c r="A8" s="1" t="s">
        <v>2</v>
      </c>
      <c r="B8" s="2">
        <f t="shared" si="6"/>
        <v>12.409377607517193</v>
      </c>
      <c r="C8" s="1">
        <f t="shared" si="10"/>
        <v>4</v>
      </c>
      <c r="D8" s="1">
        <f t="shared" si="7"/>
        <v>1</v>
      </c>
      <c r="E8" s="1">
        <f t="shared" si="8"/>
        <v>5</v>
      </c>
      <c r="F8" s="4">
        <f t="shared" si="0"/>
        <v>2.014605469403705E-2</v>
      </c>
      <c r="G8" s="4">
        <f t="shared" si="1"/>
        <v>0.10073027347018525</v>
      </c>
      <c r="H8" s="5">
        <f t="shared" si="2"/>
        <v>4442</v>
      </c>
      <c r="I8" s="2">
        <f t="shared" si="3"/>
        <v>12.409950472760016</v>
      </c>
      <c r="J8" s="8">
        <f t="shared" si="4"/>
        <v>4.6163898056894581E-5</v>
      </c>
      <c r="K8" s="1">
        <f t="shared" si="5"/>
        <v>4.9999999999999991</v>
      </c>
      <c r="L8" s="2">
        <f t="shared" si="9"/>
        <v>3553.6000000000008</v>
      </c>
    </row>
    <row r="9" spans="1:12">
      <c r="A9" s="3">
        <f>EXP(LN(10)/A7)</f>
        <v>1.0746078283213174</v>
      </c>
      <c r="B9" s="2">
        <f t="shared" si="6"/>
        <v>13.335214321633236</v>
      </c>
      <c r="C9" s="1">
        <f t="shared" si="10"/>
        <v>5</v>
      </c>
      <c r="D9" s="1">
        <f t="shared" si="7"/>
        <v>1</v>
      </c>
      <c r="E9" s="1">
        <f t="shared" si="8"/>
        <v>5</v>
      </c>
      <c r="F9" s="4">
        <f t="shared" si="0"/>
        <v>1.8747355233311402E-2</v>
      </c>
      <c r="G9" s="4">
        <f t="shared" si="1"/>
        <v>9.3736776166557012E-2</v>
      </c>
      <c r="H9" s="5">
        <f t="shared" si="2"/>
        <v>4133</v>
      </c>
      <c r="I9" s="2">
        <f t="shared" si="3"/>
        <v>13.337769174933463</v>
      </c>
      <c r="J9" s="8">
        <f t="shared" si="4"/>
        <v>1.9158696955345889E-4</v>
      </c>
      <c r="K9" s="1">
        <f t="shared" si="5"/>
        <v>5</v>
      </c>
      <c r="L9" s="2">
        <f t="shared" si="9"/>
        <v>3306.4</v>
      </c>
    </row>
    <row r="10" spans="1:12">
      <c r="B10" s="2">
        <f t="shared" si="6"/>
        <v>14.330125702369621</v>
      </c>
      <c r="C10" s="1">
        <f t="shared" si="10"/>
        <v>6</v>
      </c>
      <c r="D10" s="1">
        <f t="shared" si="7"/>
        <v>1</v>
      </c>
      <c r="E10" s="1">
        <f t="shared" si="8"/>
        <v>5</v>
      </c>
      <c r="F10" s="4">
        <f t="shared" si="0"/>
        <v>1.7445764621496666E-2</v>
      </c>
      <c r="G10" s="4">
        <f t="shared" si="1"/>
        <v>8.7228823107483325E-2</v>
      </c>
      <c r="H10" s="5">
        <f t="shared" si="2"/>
        <v>3846</v>
      </c>
      <c r="I10" s="2">
        <f t="shared" si="3"/>
        <v>14.333073322932917</v>
      </c>
      <c r="J10" s="8">
        <f t="shared" si="4"/>
        <v>2.0569397816294632E-4</v>
      </c>
      <c r="K10" s="1">
        <f t="shared" si="5"/>
        <v>5</v>
      </c>
      <c r="L10" s="2">
        <f t="shared" si="9"/>
        <v>3076.8</v>
      </c>
    </row>
    <row r="11" spans="1:12">
      <c r="B11" s="2">
        <f t="shared" si="6"/>
        <v>15.399265260594911</v>
      </c>
      <c r="C11" s="1">
        <f t="shared" si="10"/>
        <v>7</v>
      </c>
      <c r="D11" s="1">
        <f t="shared" si="7"/>
        <v>2</v>
      </c>
      <c r="E11" s="1">
        <f t="shared" si="8"/>
        <v>9</v>
      </c>
      <c r="F11" s="4">
        <f t="shared" si="0"/>
        <v>1.6234540789405293E-2</v>
      </c>
      <c r="G11" s="4">
        <f t="shared" si="1"/>
        <v>0.14611086710464763</v>
      </c>
      <c r="H11" s="5">
        <f t="shared" si="2"/>
        <v>6443</v>
      </c>
      <c r="I11" s="2">
        <f t="shared" si="3"/>
        <v>15.40043458016452</v>
      </c>
      <c r="J11" s="8">
        <f t="shared" si="4"/>
        <v>7.5933464994681898E-5</v>
      </c>
      <c r="K11" s="1">
        <f t="shared" si="5"/>
        <v>9</v>
      </c>
      <c r="L11" s="2">
        <f t="shared" si="9"/>
        <v>2863.5555555555557</v>
      </c>
    </row>
    <row r="12" spans="1:12">
      <c r="B12" s="2">
        <f t="shared" si="6"/>
        <v>16.548170999431804</v>
      </c>
      <c r="C12" s="1">
        <f t="shared" si="10"/>
        <v>8</v>
      </c>
      <c r="D12" s="1">
        <f t="shared" si="7"/>
        <v>2</v>
      </c>
      <c r="E12" s="1">
        <f t="shared" si="8"/>
        <v>9</v>
      </c>
      <c r="F12" s="4">
        <f t="shared" si="0"/>
        <v>1.510740975595333E-2</v>
      </c>
      <c r="G12" s="4">
        <f t="shared" si="1"/>
        <v>0.13596668780357996</v>
      </c>
      <c r="H12" s="5">
        <f t="shared" si="2"/>
        <v>5996</v>
      </c>
      <c r="I12" s="2">
        <f t="shared" si="3"/>
        <v>16.548532354903269</v>
      </c>
      <c r="J12" s="8">
        <f t="shared" si="4"/>
        <v>2.1836580699874375E-5</v>
      </c>
      <c r="K12" s="1">
        <f t="shared" si="5"/>
        <v>9</v>
      </c>
      <c r="L12" s="2">
        <f t="shared" si="9"/>
        <v>2664.8888888888887</v>
      </c>
    </row>
    <row r="13" spans="1:12">
      <c r="B13" s="2">
        <f t="shared" si="6"/>
        <v>17.782794100389214</v>
      </c>
      <c r="C13" s="1">
        <f t="shared" si="10"/>
        <v>9</v>
      </c>
      <c r="D13" s="1">
        <f t="shared" si="7"/>
        <v>2</v>
      </c>
      <c r="E13" s="1">
        <f t="shared" si="8"/>
        <v>9</v>
      </c>
      <c r="F13" s="4">
        <f t="shared" si="0"/>
        <v>1.4058533129758738E-2</v>
      </c>
      <c r="G13" s="4">
        <f t="shared" si="1"/>
        <v>0.12652679816782864</v>
      </c>
      <c r="H13" s="5">
        <f t="shared" si="2"/>
        <v>5579</v>
      </c>
      <c r="I13" s="2">
        <f t="shared" si="3"/>
        <v>17.785445420326223</v>
      </c>
      <c r="J13" s="8">
        <f t="shared" si="4"/>
        <v>1.4909467668799969E-4</v>
      </c>
      <c r="K13" s="1">
        <f t="shared" si="5"/>
        <v>9</v>
      </c>
      <c r="L13" s="2">
        <f t="shared" si="9"/>
        <v>2479.5555555555557</v>
      </c>
    </row>
    <row r="14" spans="1:12">
      <c r="B14" s="2">
        <f t="shared" si="6"/>
        <v>19.109529749704389</v>
      </c>
      <c r="C14" s="1">
        <f t="shared" si="10"/>
        <v>10</v>
      </c>
      <c r="D14" s="1">
        <f t="shared" si="7"/>
        <v>2</v>
      </c>
      <c r="E14" s="1">
        <f t="shared" si="8"/>
        <v>9</v>
      </c>
      <c r="F14" s="4">
        <f t="shared" si="0"/>
        <v>1.3082477867037378E-2</v>
      </c>
      <c r="G14" s="4">
        <f t="shared" si="1"/>
        <v>0.11774230080333641</v>
      </c>
      <c r="H14" s="5">
        <f t="shared" si="2"/>
        <v>5192</v>
      </c>
      <c r="I14" s="2">
        <f t="shared" si="3"/>
        <v>19.111132511556242</v>
      </c>
      <c r="J14" s="8">
        <f t="shared" si="4"/>
        <v>8.3872385812089334E-5</v>
      </c>
      <c r="K14" s="1">
        <f t="shared" si="5"/>
        <v>9.0000000000000018</v>
      </c>
      <c r="L14" s="2">
        <f t="shared" si="9"/>
        <v>2307.5555555555552</v>
      </c>
    </row>
    <row r="15" spans="1:12">
      <c r="B15" s="2">
        <f t="shared" si="6"/>
        <v>20.535250264571442</v>
      </c>
      <c r="C15" s="1">
        <f t="shared" si="10"/>
        <v>11</v>
      </c>
      <c r="D15" s="1">
        <f t="shared" si="7"/>
        <v>2</v>
      </c>
      <c r="E15" s="1">
        <f t="shared" si="8"/>
        <v>9</v>
      </c>
      <c r="F15" s="4">
        <f t="shared" si="0"/>
        <v>1.217418812914659E-2</v>
      </c>
      <c r="G15" s="4">
        <f t="shared" si="1"/>
        <v>0.1095676931623193</v>
      </c>
      <c r="H15" s="5">
        <f t="shared" si="2"/>
        <v>4831</v>
      </c>
      <c r="I15" s="2">
        <f t="shared" si="3"/>
        <v>20.539225833160838</v>
      </c>
      <c r="J15" s="8">
        <f t="shared" si="4"/>
        <v>1.9359727971046681E-4</v>
      </c>
      <c r="K15" s="1">
        <f t="shared" si="5"/>
        <v>9.0000000000000018</v>
      </c>
      <c r="L15" s="2">
        <f t="shared" si="9"/>
        <v>2147.1111111111109</v>
      </c>
    </row>
    <row r="16" spans="1:12">
      <c r="B16" s="2">
        <f t="shared" si="6"/>
        <v>22.067340690845874</v>
      </c>
      <c r="C16" s="1">
        <f t="shared" si="10"/>
        <v>12</v>
      </c>
      <c r="D16" s="1">
        <f t="shared" si="7"/>
        <v>2</v>
      </c>
      <c r="E16" s="1">
        <f t="shared" si="8"/>
        <v>9</v>
      </c>
      <c r="F16" s="4">
        <f t="shared" si="0"/>
        <v>1.1328959094002057E-2</v>
      </c>
      <c r="G16" s="4">
        <f t="shared" si="1"/>
        <v>0.10196063184601852</v>
      </c>
      <c r="H16" s="5">
        <f t="shared" si="2"/>
        <v>4496</v>
      </c>
      <c r="I16" s="2">
        <f t="shared" si="3"/>
        <v>22.069617437722421</v>
      </c>
      <c r="J16" s="8">
        <f t="shared" si="4"/>
        <v>1.0317268892712228E-4</v>
      </c>
      <c r="K16" s="1">
        <f t="shared" si="5"/>
        <v>9</v>
      </c>
      <c r="L16" s="2">
        <f t="shared" si="9"/>
        <v>1998.2222222222222</v>
      </c>
    </row>
    <row r="17" spans="2:12">
      <c r="B17" s="2">
        <f t="shared" si="6"/>
        <v>23.713737056616527</v>
      </c>
      <c r="C17" s="1">
        <f t="shared" si="10"/>
        <v>13</v>
      </c>
      <c r="D17" s="1">
        <f t="shared" si="7"/>
        <v>3</v>
      </c>
      <c r="E17" s="1">
        <f t="shared" si="8"/>
        <v>13</v>
      </c>
      <c r="F17" s="4">
        <f t="shared" si="0"/>
        <v>1.0542412585714568E-2</v>
      </c>
      <c r="G17" s="4">
        <f t="shared" si="1"/>
        <v>0.13705136361428938</v>
      </c>
      <c r="H17" s="5">
        <f t="shared" si="2"/>
        <v>6043</v>
      </c>
      <c r="I17" s="2">
        <f t="shared" si="3"/>
        <v>23.717524408406419</v>
      </c>
      <c r="J17" s="8">
        <f t="shared" si="4"/>
        <v>1.5971130070524531E-4</v>
      </c>
      <c r="K17" s="1">
        <f t="shared" si="5"/>
        <v>13</v>
      </c>
      <c r="L17" s="2">
        <f t="shared" si="9"/>
        <v>1859.3846153846155</v>
      </c>
    </row>
    <row r="18" spans="2:12">
      <c r="B18" s="2">
        <f t="shared" si="6"/>
        <v>25.482967479793434</v>
      </c>
      <c r="C18" s="1">
        <f t="shared" si="10"/>
        <v>14</v>
      </c>
      <c r="D18" s="1">
        <f t="shared" si="7"/>
        <v>3</v>
      </c>
      <c r="E18" s="1">
        <f t="shared" si="8"/>
        <v>13</v>
      </c>
      <c r="F18" s="4">
        <f t="shared" si="0"/>
        <v>9.8104743962113515E-3</v>
      </c>
      <c r="G18" s="4">
        <f t="shared" si="1"/>
        <v>0.12753616715074756</v>
      </c>
      <c r="H18" s="5">
        <f t="shared" si="2"/>
        <v>5624</v>
      </c>
      <c r="I18" s="2">
        <f t="shared" si="3"/>
        <v>25.484530583214795</v>
      </c>
      <c r="J18" s="8">
        <f t="shared" si="4"/>
        <v>6.133914437556065E-5</v>
      </c>
      <c r="K18" s="1">
        <f t="shared" si="5"/>
        <v>13</v>
      </c>
      <c r="L18" s="2">
        <f t="shared" si="9"/>
        <v>1730.4615384615386</v>
      </c>
    </row>
    <row r="19" spans="2:12">
      <c r="B19" s="2">
        <f t="shared" si="6"/>
        <v>27.384196342643577</v>
      </c>
      <c r="C19" s="1">
        <f t="shared" si="10"/>
        <v>15</v>
      </c>
      <c r="D19" s="1">
        <f t="shared" si="7"/>
        <v>3</v>
      </c>
      <c r="E19" s="1">
        <f t="shared" si="8"/>
        <v>13</v>
      </c>
      <c r="F19" s="4">
        <f t="shared" si="0"/>
        <v>9.1293531813709545E-3</v>
      </c>
      <c r="G19" s="4">
        <f t="shared" si="1"/>
        <v>0.11868159135782241</v>
      </c>
      <c r="H19" s="5">
        <f t="shared" si="2"/>
        <v>5233</v>
      </c>
      <c r="I19" s="2">
        <f t="shared" si="3"/>
        <v>27.388687177527231</v>
      </c>
      <c r="J19" s="8">
        <f t="shared" si="4"/>
        <v>1.6399367092834183E-4</v>
      </c>
      <c r="K19" s="1">
        <f t="shared" si="5"/>
        <v>13</v>
      </c>
      <c r="L19" s="2">
        <f t="shared" si="9"/>
        <v>1610.1538461538462</v>
      </c>
    </row>
    <row r="20" spans="2:12">
      <c r="B20" s="2">
        <f t="shared" si="6"/>
        <v>29.427271762092776</v>
      </c>
      <c r="C20" s="1">
        <f t="shared" si="10"/>
        <v>16</v>
      </c>
      <c r="D20" s="1">
        <f t="shared" si="7"/>
        <v>4</v>
      </c>
      <c r="E20" s="1">
        <f t="shared" si="8"/>
        <v>17</v>
      </c>
      <c r="F20" s="4">
        <f t="shared" si="0"/>
        <v>8.4955208223564099E-3</v>
      </c>
      <c r="G20" s="4">
        <f t="shared" si="1"/>
        <v>0.14442385398005897</v>
      </c>
      <c r="H20" s="5">
        <f t="shared" si="2"/>
        <v>6369</v>
      </c>
      <c r="I20" s="2">
        <f t="shared" si="3"/>
        <v>29.427696655675931</v>
      </c>
      <c r="J20" s="8">
        <f t="shared" si="4"/>
        <v>1.4438769131874807E-5</v>
      </c>
      <c r="K20" s="1">
        <f t="shared" si="5"/>
        <v>17</v>
      </c>
      <c r="L20" s="2">
        <f t="shared" si="9"/>
        <v>1498.5882352941176</v>
      </c>
    </row>
    <row r="21" spans="2:12">
      <c r="B21" s="2">
        <f t="shared" si="6"/>
        <v>31.622776601683746</v>
      </c>
      <c r="C21" s="1">
        <f t="shared" si="10"/>
        <v>17</v>
      </c>
      <c r="D21" s="1">
        <f t="shared" si="7"/>
        <v>4</v>
      </c>
      <c r="E21" s="1">
        <f t="shared" si="8"/>
        <v>17</v>
      </c>
      <c r="F21" s="4">
        <f t="shared" si="0"/>
        <v>7.90569415042096E-3</v>
      </c>
      <c r="G21" s="4">
        <f t="shared" si="1"/>
        <v>0.13439680055715633</v>
      </c>
      <c r="H21" s="5">
        <f t="shared" si="2"/>
        <v>5926</v>
      </c>
      <c r="I21" s="2">
        <f t="shared" si="3"/>
        <v>31.627573405332431</v>
      </c>
      <c r="J21" s="8">
        <f t="shared" si="4"/>
        <v>1.516882501844119E-4</v>
      </c>
      <c r="K21" s="1">
        <f t="shared" si="5"/>
        <v>16.999999999999996</v>
      </c>
      <c r="L21" s="2">
        <f t="shared" si="9"/>
        <v>1394.3529411764709</v>
      </c>
    </row>
    <row r="22" spans="2:12">
      <c r="B22" s="2">
        <f t="shared" si="6"/>
        <v>33.982083289425539</v>
      </c>
      <c r="C22" s="1">
        <f t="shared" si="10"/>
        <v>18</v>
      </c>
      <c r="D22" s="1">
        <f t="shared" si="7"/>
        <v>4</v>
      </c>
      <c r="E22" s="1">
        <f t="shared" si="8"/>
        <v>17</v>
      </c>
      <c r="F22" s="4">
        <f t="shared" si="0"/>
        <v>7.3568179405232165E-3</v>
      </c>
      <c r="G22" s="4">
        <f t="shared" si="1"/>
        <v>0.12506590498889469</v>
      </c>
      <c r="H22" s="5">
        <f t="shared" si="2"/>
        <v>5515</v>
      </c>
      <c r="I22" s="2">
        <f t="shared" si="3"/>
        <v>33.984587488667273</v>
      </c>
      <c r="J22" s="8">
        <f t="shared" si="4"/>
        <v>7.3691751632853908E-5</v>
      </c>
      <c r="K22" s="1">
        <f t="shared" si="5"/>
        <v>17</v>
      </c>
      <c r="L22" s="2">
        <f t="shared" si="9"/>
        <v>1297.6470588235295</v>
      </c>
    </row>
    <row r="23" spans="2:12">
      <c r="B23" s="2">
        <f t="shared" si="6"/>
        <v>36.517412725483709</v>
      </c>
      <c r="C23" s="1">
        <f t="shared" si="10"/>
        <v>19</v>
      </c>
      <c r="D23" s="1">
        <f t="shared" si="7"/>
        <v>5</v>
      </c>
      <c r="E23" s="1">
        <f t="shared" si="8"/>
        <v>21</v>
      </c>
      <c r="F23" s="4">
        <f t="shared" si="0"/>
        <v>6.8460490856609149E-3</v>
      </c>
      <c r="G23" s="4">
        <f t="shared" si="1"/>
        <v>0.1437670307988792</v>
      </c>
      <c r="H23" s="5">
        <f t="shared" si="2"/>
        <v>6340</v>
      </c>
      <c r="I23" s="2">
        <f t="shared" si="3"/>
        <v>36.518138801261827</v>
      </c>
      <c r="J23" s="8">
        <f t="shared" si="4"/>
        <v>1.9883001667553302E-5</v>
      </c>
      <c r="K23" s="1">
        <f t="shared" si="5"/>
        <v>20.999999999999996</v>
      </c>
      <c r="L23" s="2">
        <f t="shared" si="9"/>
        <v>1207.6190476190479</v>
      </c>
    </row>
    <row r="24" spans="2:12">
      <c r="B24" s="2">
        <f t="shared" si="6"/>
        <v>39.24189758484529</v>
      </c>
      <c r="C24" s="1">
        <f t="shared" si="10"/>
        <v>20</v>
      </c>
      <c r="D24" s="1">
        <f t="shared" si="7"/>
        <v>5</v>
      </c>
      <c r="E24" s="1">
        <f t="shared" si="8"/>
        <v>21</v>
      </c>
      <c r="F24" s="4">
        <f t="shared" si="0"/>
        <v>6.3707418699483773E-3</v>
      </c>
      <c r="G24" s="4">
        <f t="shared" si="1"/>
        <v>0.13378557926891593</v>
      </c>
      <c r="H24" s="5">
        <f t="shared" si="2"/>
        <v>5899</v>
      </c>
      <c r="I24" s="2">
        <f t="shared" si="3"/>
        <v>39.248177657230045</v>
      </c>
      <c r="J24" s="8">
        <f t="shared" si="4"/>
        <v>1.6003488035143398E-4</v>
      </c>
      <c r="K24" s="1">
        <f t="shared" si="5"/>
        <v>21.000000000000004</v>
      </c>
      <c r="L24" s="2">
        <f t="shared" si="9"/>
        <v>1123.6190476190475</v>
      </c>
    </row>
    <row r="25" spans="2:12">
      <c r="B25" s="2">
        <f t="shared" si="6"/>
        <v>42.169650342858148</v>
      </c>
      <c r="C25" s="1">
        <f t="shared" si="10"/>
        <v>21</v>
      </c>
      <c r="D25" s="1">
        <f t="shared" si="7"/>
        <v>5</v>
      </c>
      <c r="E25" s="1">
        <f t="shared" si="8"/>
        <v>21</v>
      </c>
      <c r="F25" s="4">
        <f t="shared" si="0"/>
        <v>5.9284342641541489E-3</v>
      </c>
      <c r="G25" s="4">
        <f t="shared" si="1"/>
        <v>0.12449711954723712</v>
      </c>
      <c r="H25" s="5">
        <f t="shared" si="2"/>
        <v>5490</v>
      </c>
      <c r="I25" s="2">
        <f t="shared" si="3"/>
        <v>42.172131147540981</v>
      </c>
      <c r="J25" s="8">
        <f t="shared" si="4"/>
        <v>5.8829149937489333E-5</v>
      </c>
      <c r="K25" s="1">
        <f t="shared" si="5"/>
        <v>20.999999999999996</v>
      </c>
      <c r="L25" s="2">
        <f t="shared" si="9"/>
        <v>1045.7142857142858</v>
      </c>
    </row>
    <row r="26" spans="2:12">
      <c r="B26" s="2">
        <f t="shared" si="6"/>
        <v>45.315836376008093</v>
      </c>
      <c r="C26" s="1">
        <f t="shared" si="10"/>
        <v>22</v>
      </c>
      <c r="D26" s="1">
        <f t="shared" si="7"/>
        <v>6</v>
      </c>
      <c r="E26" s="1">
        <f t="shared" si="8"/>
        <v>25</v>
      </c>
      <c r="F26" s="4">
        <f t="shared" si="0"/>
        <v>5.5168351727114852E-3</v>
      </c>
      <c r="G26" s="4">
        <f t="shared" si="1"/>
        <v>0.13792087931778713</v>
      </c>
      <c r="H26" s="5">
        <f t="shared" si="2"/>
        <v>6082</v>
      </c>
      <c r="I26" s="2">
        <f t="shared" si="3"/>
        <v>45.318151923709308</v>
      </c>
      <c r="J26" s="8">
        <f t="shared" si="4"/>
        <v>5.109798000857424E-5</v>
      </c>
      <c r="K26" s="1">
        <f t="shared" si="5"/>
        <v>25</v>
      </c>
      <c r="L26" s="2">
        <f t="shared" si="9"/>
        <v>973.12</v>
      </c>
    </row>
    <row r="27" spans="2:12">
      <c r="B27" s="2">
        <f t="shared" si="6"/>
        <v>48.696752516586216</v>
      </c>
      <c r="C27" s="1">
        <f t="shared" si="10"/>
        <v>23</v>
      </c>
      <c r="D27" s="1">
        <f t="shared" si="7"/>
        <v>6</v>
      </c>
      <c r="E27" s="1">
        <f t="shared" si="8"/>
        <v>25</v>
      </c>
      <c r="F27" s="4">
        <f t="shared" si="0"/>
        <v>5.1338125661428754E-3</v>
      </c>
      <c r="G27" s="4">
        <f t="shared" si="1"/>
        <v>0.12834531415357189</v>
      </c>
      <c r="H27" s="5">
        <f t="shared" si="2"/>
        <v>5660</v>
      </c>
      <c r="I27" s="2">
        <f t="shared" si="3"/>
        <v>48.696996466431095</v>
      </c>
      <c r="J27" s="8">
        <f t="shared" si="4"/>
        <v>5.0095711165987211E-6</v>
      </c>
      <c r="K27" s="1">
        <f t="shared" si="5"/>
        <v>25</v>
      </c>
      <c r="L27" s="2">
        <f t="shared" si="9"/>
        <v>905.6</v>
      </c>
    </row>
    <row r="28" spans="2:12">
      <c r="B28" s="2">
        <f t="shared" si="6"/>
        <v>52.329911468149362</v>
      </c>
      <c r="C28" s="1">
        <f t="shared" si="10"/>
        <v>24</v>
      </c>
      <c r="D28" s="1">
        <f t="shared" si="7"/>
        <v>7</v>
      </c>
      <c r="E28" s="1">
        <f t="shared" si="8"/>
        <v>29</v>
      </c>
      <c r="F28" s="4">
        <f t="shared" si="0"/>
        <v>4.7773824374261111E-3</v>
      </c>
      <c r="G28" s="4">
        <f t="shared" si="1"/>
        <v>0.13854409068535722</v>
      </c>
      <c r="H28" s="5">
        <f t="shared" si="2"/>
        <v>6109</v>
      </c>
      <c r="I28" s="2">
        <f t="shared" si="3"/>
        <v>52.336716320183335</v>
      </c>
      <c r="J28" s="8">
        <f t="shared" si="4"/>
        <v>1.3003752238560651E-4</v>
      </c>
      <c r="K28" s="1">
        <f t="shared" si="5"/>
        <v>29</v>
      </c>
      <c r="L28" s="2">
        <f t="shared" si="9"/>
        <v>842.62068965517244</v>
      </c>
    </row>
    <row r="29" spans="2:12">
      <c r="B29" s="2">
        <f t="shared" si="6"/>
        <v>56.234132519034787</v>
      </c>
      <c r="C29" s="1">
        <f t="shared" si="10"/>
        <v>25</v>
      </c>
      <c r="D29" s="1">
        <f t="shared" si="7"/>
        <v>8</v>
      </c>
      <c r="E29" s="1">
        <f t="shared" si="8"/>
        <v>33</v>
      </c>
      <c r="F29" s="4">
        <f t="shared" si="0"/>
        <v>4.4456985250973169E-3</v>
      </c>
      <c r="G29" s="4">
        <f t="shared" si="1"/>
        <v>0.14670805132821146</v>
      </c>
      <c r="H29" s="5">
        <f t="shared" si="2"/>
        <v>6469</v>
      </c>
      <c r="I29" s="2">
        <f t="shared" si="3"/>
        <v>56.241304683876947</v>
      </c>
      <c r="J29" s="8">
        <f t="shared" si="4"/>
        <v>1.2754113064228356E-4</v>
      </c>
      <c r="K29" s="1">
        <f t="shared" si="5"/>
        <v>33</v>
      </c>
      <c r="L29" s="2">
        <f t="shared" si="9"/>
        <v>784.12121212121212</v>
      </c>
    </row>
    <row r="30" spans="2:12">
      <c r="B30" s="2">
        <f t="shared" si="6"/>
        <v>60.429639023813145</v>
      </c>
      <c r="C30" s="1">
        <f t="shared" si="10"/>
        <v>26</v>
      </c>
      <c r="D30" s="1">
        <f t="shared" si="7"/>
        <v>8</v>
      </c>
      <c r="E30" s="1">
        <f t="shared" si="8"/>
        <v>33</v>
      </c>
      <c r="F30" s="4">
        <f t="shared" si="0"/>
        <v>4.1370427498579627E-3</v>
      </c>
      <c r="G30" s="4">
        <f t="shared" si="1"/>
        <v>0.13652241074531277</v>
      </c>
      <c r="H30" s="5">
        <f t="shared" si="2"/>
        <v>6020</v>
      </c>
      <c r="I30" s="2">
        <f t="shared" si="3"/>
        <v>60.436046511627907</v>
      </c>
      <c r="J30" s="8">
        <f t="shared" si="4"/>
        <v>1.0603220403537783E-4</v>
      </c>
      <c r="K30" s="1">
        <f t="shared" si="5"/>
        <v>33</v>
      </c>
      <c r="L30" s="2">
        <f t="shared" si="9"/>
        <v>729.69696969696975</v>
      </c>
    </row>
    <row r="31" spans="2:12">
      <c r="B31" s="2">
        <f t="shared" si="6"/>
        <v>64.938163157620977</v>
      </c>
      <c r="C31" s="1">
        <f t="shared" si="10"/>
        <v>27</v>
      </c>
      <c r="D31" s="1">
        <f t="shared" si="7"/>
        <v>9</v>
      </c>
      <c r="E31" s="1">
        <f t="shared" si="8"/>
        <v>37</v>
      </c>
      <c r="F31" s="4">
        <f t="shared" si="0"/>
        <v>3.849816315148739E-3</v>
      </c>
      <c r="G31" s="4">
        <f t="shared" si="1"/>
        <v>0.14244320366050334</v>
      </c>
      <c r="H31" s="5">
        <f t="shared" si="2"/>
        <v>6281</v>
      </c>
      <c r="I31" s="2">
        <f t="shared" si="3"/>
        <v>64.945868492278308</v>
      </c>
      <c r="J31" s="8">
        <f t="shared" si="4"/>
        <v>1.1865649230990982E-4</v>
      </c>
      <c r="K31" s="1">
        <f t="shared" si="5"/>
        <v>37.000000000000007</v>
      </c>
      <c r="L31" s="2">
        <f t="shared" si="9"/>
        <v>679.02702702702686</v>
      </c>
    </row>
    <row r="32" spans="2:12">
      <c r="B32" s="2">
        <f t="shared" si="6"/>
        <v>69.783058485986459</v>
      </c>
      <c r="C32" s="1">
        <f t="shared" si="10"/>
        <v>28</v>
      </c>
      <c r="D32" s="1">
        <f t="shared" si="7"/>
        <v>10</v>
      </c>
      <c r="E32" s="1">
        <f t="shared" si="8"/>
        <v>41</v>
      </c>
      <c r="F32" s="4">
        <f t="shared" si="0"/>
        <v>3.5825314255924158E-3</v>
      </c>
      <c r="G32" s="4">
        <f t="shared" si="1"/>
        <v>0.14688378844928904</v>
      </c>
      <c r="H32" s="5">
        <f t="shared" si="2"/>
        <v>6477</v>
      </c>
      <c r="I32" s="2">
        <f t="shared" si="3"/>
        <v>69.789254284390921</v>
      </c>
      <c r="J32" s="8">
        <f t="shared" si="4"/>
        <v>8.8786569962584494E-5</v>
      </c>
      <c r="K32" s="1">
        <f t="shared" si="5"/>
        <v>41</v>
      </c>
      <c r="L32" s="2">
        <f t="shared" si="9"/>
        <v>631.90243902439022</v>
      </c>
    </row>
    <row r="33" spans="2:12">
      <c r="B33" s="2">
        <f t="shared" si="6"/>
        <v>74.989420933245384</v>
      </c>
      <c r="C33" s="1">
        <f t="shared" si="10"/>
        <v>29</v>
      </c>
      <c r="D33" s="1">
        <f t="shared" si="7"/>
        <v>10</v>
      </c>
      <c r="E33" s="1">
        <f t="shared" si="8"/>
        <v>41</v>
      </c>
      <c r="F33" s="4">
        <f t="shared" si="0"/>
        <v>3.3338035804083188E-3</v>
      </c>
      <c r="G33" s="4">
        <f t="shared" si="1"/>
        <v>0.13668594679674106</v>
      </c>
      <c r="H33" s="5">
        <f t="shared" si="2"/>
        <v>6027</v>
      </c>
      <c r="I33" s="2">
        <f t="shared" si="3"/>
        <v>75</v>
      </c>
      <c r="J33" s="8">
        <f t="shared" si="4"/>
        <v>1.4107412249564355E-4</v>
      </c>
      <c r="K33" s="1">
        <f t="shared" si="5"/>
        <v>41</v>
      </c>
      <c r="L33" s="2">
        <f t="shared" si="9"/>
        <v>588</v>
      </c>
    </row>
    <row r="34" spans="2:12">
      <c r="B34" s="2">
        <f t="shared" si="6"/>
        <v>80.584218776147964</v>
      </c>
      <c r="C34" s="1">
        <f t="shared" si="10"/>
        <v>30</v>
      </c>
      <c r="D34" s="1">
        <f t="shared" si="7"/>
        <v>11</v>
      </c>
      <c r="E34" s="1">
        <f t="shared" si="8"/>
        <v>45</v>
      </c>
      <c r="F34" s="4">
        <f t="shared" si="0"/>
        <v>3.1023444018793071E-3</v>
      </c>
      <c r="G34" s="4">
        <f t="shared" si="1"/>
        <v>0.13960549808456882</v>
      </c>
      <c r="H34" s="5">
        <f t="shared" si="2"/>
        <v>6156</v>
      </c>
      <c r="I34" s="2">
        <f t="shared" si="3"/>
        <v>80.59210526315789</v>
      </c>
      <c r="J34" s="8">
        <f t="shared" si="4"/>
        <v>9.7866395303070064E-5</v>
      </c>
      <c r="K34" s="1">
        <f t="shared" si="5"/>
        <v>45</v>
      </c>
      <c r="L34" s="2">
        <f t="shared" si="9"/>
        <v>547.20000000000005</v>
      </c>
    </row>
    <row r="35" spans="2:12">
      <c r="B35" s="2">
        <f t="shared" si="6"/>
        <v>86.596432336006288</v>
      </c>
      <c r="C35" s="1">
        <f t="shared" si="10"/>
        <v>31</v>
      </c>
      <c r="D35" s="1">
        <f t="shared" si="7"/>
        <v>12</v>
      </c>
      <c r="E35" s="1">
        <f t="shared" si="8"/>
        <v>49</v>
      </c>
      <c r="F35" s="4">
        <f t="shared" si="0"/>
        <v>2.8869549617236536E-3</v>
      </c>
      <c r="G35" s="4">
        <f t="shared" si="1"/>
        <v>0.14146079312445903</v>
      </c>
      <c r="H35" s="5">
        <f t="shared" si="2"/>
        <v>6238</v>
      </c>
      <c r="I35" s="2">
        <f t="shared" si="3"/>
        <v>86.6022763706316</v>
      </c>
      <c r="J35" s="8">
        <f t="shared" si="4"/>
        <v>6.7485859032156981E-5</v>
      </c>
      <c r="K35" s="1">
        <f t="shared" si="5"/>
        <v>48.999999999999993</v>
      </c>
      <c r="L35" s="2">
        <f t="shared" si="9"/>
        <v>509.22448979591843</v>
      </c>
    </row>
    <row r="36" spans="2:12">
      <c r="B36" s="2">
        <f t="shared" si="6"/>
        <v>93.057204092969627</v>
      </c>
      <c r="C36" s="1">
        <f t="shared" si="10"/>
        <v>32</v>
      </c>
      <c r="D36" s="1">
        <f t="shared" si="7"/>
        <v>13</v>
      </c>
      <c r="E36" s="1">
        <f t="shared" si="8"/>
        <v>53</v>
      </c>
      <c r="F36" s="4">
        <f t="shared" si="0"/>
        <v>2.6865195708033014E-3</v>
      </c>
      <c r="G36" s="4">
        <f t="shared" si="1"/>
        <v>0.14238553725257497</v>
      </c>
      <c r="H36" s="5">
        <f t="shared" si="2"/>
        <v>6279</v>
      </c>
      <c r="I36" s="2">
        <f t="shared" si="3"/>
        <v>93.060200668896329</v>
      </c>
      <c r="J36" s="8">
        <f t="shared" si="4"/>
        <v>3.220143949000942E-5</v>
      </c>
      <c r="K36" s="1">
        <f t="shared" si="5"/>
        <v>53</v>
      </c>
      <c r="L36" s="2">
        <f t="shared" si="9"/>
        <v>473.88679245283021</v>
      </c>
    </row>
    <row r="37" spans="2:12">
      <c r="B37" s="2">
        <f t="shared" si="6"/>
        <v>99.999999999999702</v>
      </c>
      <c r="C37" s="1">
        <f t="shared" si="10"/>
        <v>33</v>
      </c>
      <c r="D37" s="1">
        <f t="shared" si="7"/>
        <v>14</v>
      </c>
      <c r="E37" s="1">
        <f t="shared" si="8"/>
        <v>57</v>
      </c>
      <c r="F37" s="4">
        <f t="shared" ref="F37:F68" si="11">1/B37/4</f>
        <v>2.5000000000000074E-3</v>
      </c>
      <c r="G37" s="4">
        <f t="shared" ref="G37:G68" si="12">E37*F37</f>
        <v>0.14250000000000043</v>
      </c>
      <c r="H37" s="5">
        <f t="shared" ref="H37:H68" si="13">INT(G37*_rate)</f>
        <v>6284</v>
      </c>
      <c r="I37" s="2">
        <f t="shared" ref="I37:I68" si="14">E37/H37/4*_rate</f>
        <v>100.00397835773393</v>
      </c>
      <c r="J37" s="8">
        <f t="shared" ref="J37:J68" si="15">(I37/B37-1)</f>
        <v>3.9783577342245025E-5</v>
      </c>
      <c r="K37" s="1">
        <f t="shared" ref="K37:K68" si="16">4*I37*H37/_rate</f>
        <v>57</v>
      </c>
      <c r="L37" s="2">
        <f t="shared" si="9"/>
        <v>440.98245614035091</v>
      </c>
    </row>
    <row r="38" spans="2:12">
      <c r="B38" s="2">
        <f t="shared" ref="B38:B69" si="17">B37*_mult</f>
        <v>107.46078283213141</v>
      </c>
      <c r="C38" s="1">
        <f t="shared" si="10"/>
        <v>34</v>
      </c>
      <c r="D38" s="1">
        <f t="shared" si="7"/>
        <v>15</v>
      </c>
      <c r="E38" s="1">
        <f t="shared" si="8"/>
        <v>61</v>
      </c>
      <c r="F38" s="4">
        <f t="shared" si="11"/>
        <v>2.3264301023242545E-3</v>
      </c>
      <c r="G38" s="4">
        <f t="shared" si="12"/>
        <v>0.14191223624177954</v>
      </c>
      <c r="H38" s="5">
        <f t="shared" si="13"/>
        <v>6258</v>
      </c>
      <c r="I38" s="2">
        <f t="shared" si="14"/>
        <v>107.46644295302013</v>
      </c>
      <c r="J38" s="8">
        <f t="shared" si="15"/>
        <v>5.2671502473344844E-5</v>
      </c>
      <c r="K38" s="1">
        <f t="shared" si="16"/>
        <v>61</v>
      </c>
      <c r="L38" s="2">
        <f t="shared" si="9"/>
        <v>410.36065573770492</v>
      </c>
    </row>
    <row r="39" spans="2:12">
      <c r="B39" s="2">
        <f t="shared" si="17"/>
        <v>115.47819846894545</v>
      </c>
      <c r="C39" s="1">
        <f t="shared" si="10"/>
        <v>35</v>
      </c>
      <c r="D39" s="1">
        <f t="shared" si="7"/>
        <v>16</v>
      </c>
      <c r="E39" s="1">
        <f t="shared" si="8"/>
        <v>65</v>
      </c>
      <c r="F39" s="4">
        <f t="shared" si="11"/>
        <v>2.1649108084001701E-3</v>
      </c>
      <c r="G39" s="4">
        <f t="shared" si="12"/>
        <v>0.14071920254601106</v>
      </c>
      <c r="H39" s="5">
        <f t="shared" si="13"/>
        <v>6205</v>
      </c>
      <c r="I39" s="2">
        <f t="shared" si="14"/>
        <v>115.49153908138598</v>
      </c>
      <c r="J39" s="8">
        <f t="shared" si="15"/>
        <v>1.1552494425282056E-4</v>
      </c>
      <c r="K39" s="1">
        <f t="shared" si="16"/>
        <v>65</v>
      </c>
      <c r="L39" s="2">
        <f t="shared" si="9"/>
        <v>381.84615384615387</v>
      </c>
    </row>
    <row r="40" spans="2:12">
      <c r="B40" s="2">
        <f t="shared" si="17"/>
        <v>124.09377607517155</v>
      </c>
      <c r="C40" s="1">
        <f t="shared" si="10"/>
        <v>36</v>
      </c>
      <c r="D40" s="1">
        <f t="shared" si="7"/>
        <v>17</v>
      </c>
      <c r="E40" s="1">
        <f t="shared" si="8"/>
        <v>69</v>
      </c>
      <c r="F40" s="4">
        <f t="shared" si="11"/>
        <v>2.0146054694037113E-3</v>
      </c>
      <c r="G40" s="4">
        <f t="shared" si="12"/>
        <v>0.13900777738885609</v>
      </c>
      <c r="H40" s="5">
        <f t="shared" si="13"/>
        <v>6130</v>
      </c>
      <c r="I40" s="2">
        <f t="shared" si="14"/>
        <v>124.09869494290375</v>
      </c>
      <c r="J40" s="8">
        <f t="shared" si="15"/>
        <v>3.96383113463461E-5</v>
      </c>
      <c r="K40" s="1">
        <f t="shared" si="16"/>
        <v>69</v>
      </c>
      <c r="L40" s="2">
        <f t="shared" si="9"/>
        <v>355.36231884057969</v>
      </c>
    </row>
    <row r="41" spans="2:12">
      <c r="B41" s="2">
        <f t="shared" si="17"/>
        <v>133.35214321633194</v>
      </c>
      <c r="C41" s="1">
        <f t="shared" si="10"/>
        <v>37</v>
      </c>
      <c r="D41" s="1">
        <f t="shared" si="7"/>
        <v>19</v>
      </c>
      <c r="E41" s="1">
        <f t="shared" si="8"/>
        <v>77</v>
      </c>
      <c r="F41" s="4">
        <f t="shared" si="11"/>
        <v>1.874735523331146E-3</v>
      </c>
      <c r="G41" s="4">
        <f t="shared" si="12"/>
        <v>0.14435463529649825</v>
      </c>
      <c r="H41" s="5">
        <f t="shared" si="13"/>
        <v>6366</v>
      </c>
      <c r="I41" s="2">
        <f t="shared" si="14"/>
        <v>133.35296889726675</v>
      </c>
      <c r="J41" s="8">
        <f t="shared" si="15"/>
        <v>6.191733517679765E-6</v>
      </c>
      <c r="K41" s="1">
        <f t="shared" si="16"/>
        <v>77.000000000000014</v>
      </c>
      <c r="L41" s="2">
        <f t="shared" si="9"/>
        <v>330.70129870129864</v>
      </c>
    </row>
    <row r="42" spans="2:12">
      <c r="B42" s="2">
        <f t="shared" si="17"/>
        <v>143.30125702369577</v>
      </c>
      <c r="C42" s="1">
        <f t="shared" si="10"/>
        <v>38</v>
      </c>
      <c r="D42" s="1">
        <f t="shared" si="7"/>
        <v>20</v>
      </c>
      <c r="E42" s="1">
        <f t="shared" si="8"/>
        <v>81</v>
      </c>
      <c r="F42" s="4">
        <f t="shared" si="11"/>
        <v>1.7445764621496719E-3</v>
      </c>
      <c r="G42" s="4">
        <f t="shared" si="12"/>
        <v>0.14131069343412342</v>
      </c>
      <c r="H42" s="5">
        <f t="shared" si="13"/>
        <v>6231</v>
      </c>
      <c r="I42" s="2">
        <f t="shared" si="14"/>
        <v>143.31969186326432</v>
      </c>
      <c r="J42" s="8">
        <f t="shared" si="15"/>
        <v>1.2864394877931673E-4</v>
      </c>
      <c r="K42" s="1">
        <f t="shared" si="16"/>
        <v>81</v>
      </c>
      <c r="L42" s="2">
        <f t="shared" si="9"/>
        <v>307.7037037037037</v>
      </c>
    </row>
    <row r="43" spans="2:12">
      <c r="B43" s="2">
        <f t="shared" si="17"/>
        <v>153.99265260594865</v>
      </c>
      <c r="C43" s="1">
        <f t="shared" si="10"/>
        <v>39</v>
      </c>
      <c r="D43" s="1">
        <f t="shared" si="7"/>
        <v>22</v>
      </c>
      <c r="E43" s="1">
        <f t="shared" si="8"/>
        <v>89</v>
      </c>
      <c r="F43" s="4">
        <f t="shared" si="11"/>
        <v>1.6234540789405341E-3</v>
      </c>
      <c r="G43" s="4">
        <f t="shared" si="12"/>
        <v>0.14448741302570753</v>
      </c>
      <c r="H43" s="5">
        <f t="shared" si="13"/>
        <v>6371</v>
      </c>
      <c r="I43" s="2">
        <f t="shared" si="14"/>
        <v>154.01428347198242</v>
      </c>
      <c r="J43" s="8">
        <f t="shared" si="15"/>
        <v>1.4046687077429176E-4</v>
      </c>
      <c r="K43" s="1">
        <f t="shared" si="16"/>
        <v>89</v>
      </c>
      <c r="L43" s="2">
        <f t="shared" si="9"/>
        <v>286.33707865168537</v>
      </c>
    </row>
    <row r="44" spans="2:12">
      <c r="B44" s="2">
        <f t="shared" si="17"/>
        <v>165.48170999431753</v>
      </c>
      <c r="C44" s="1">
        <f t="shared" si="10"/>
        <v>40</v>
      </c>
      <c r="D44" s="1">
        <f t="shared" si="7"/>
        <v>24</v>
      </c>
      <c r="E44" s="1">
        <f t="shared" si="8"/>
        <v>97</v>
      </c>
      <c r="F44" s="4">
        <f t="shared" si="11"/>
        <v>1.5107409755953376E-3</v>
      </c>
      <c r="G44" s="4">
        <f t="shared" si="12"/>
        <v>0.14654187463274776</v>
      </c>
      <c r="H44" s="5">
        <f t="shared" si="13"/>
        <v>6462</v>
      </c>
      <c r="I44" s="2">
        <f t="shared" si="14"/>
        <v>165.49442896935932</v>
      </c>
      <c r="J44" s="8">
        <f t="shared" si="15"/>
        <v>7.6860307052895038E-5</v>
      </c>
      <c r="K44" s="1">
        <f t="shared" si="16"/>
        <v>97</v>
      </c>
      <c r="L44" s="2">
        <f t="shared" si="9"/>
        <v>266.4742268041237</v>
      </c>
    </row>
    <row r="45" spans="2:12">
      <c r="B45" s="2">
        <f t="shared" si="17"/>
        <v>177.8279410038916</v>
      </c>
      <c r="C45" s="1">
        <f t="shared" si="10"/>
        <v>41</v>
      </c>
      <c r="D45" s="1">
        <f t="shared" si="7"/>
        <v>25</v>
      </c>
      <c r="E45" s="1">
        <f t="shared" si="8"/>
        <v>101</v>
      </c>
      <c r="F45" s="4">
        <f t="shared" si="11"/>
        <v>1.4058533129758782E-3</v>
      </c>
      <c r="G45" s="4">
        <f t="shared" si="12"/>
        <v>0.1419911846105637</v>
      </c>
      <c r="H45" s="5">
        <f t="shared" si="13"/>
        <v>6261</v>
      </c>
      <c r="I45" s="2">
        <f t="shared" si="14"/>
        <v>177.8509822712027</v>
      </c>
      <c r="J45" s="8">
        <f t="shared" si="15"/>
        <v>1.2957056793783117E-4</v>
      </c>
      <c r="K45" s="1">
        <f t="shared" si="16"/>
        <v>101</v>
      </c>
      <c r="L45" s="2">
        <f t="shared" si="9"/>
        <v>247.96039603960395</v>
      </c>
    </row>
    <row r="46" spans="2:12">
      <c r="B46" s="2">
        <f t="shared" si="17"/>
        <v>191.0952974970433</v>
      </c>
      <c r="C46" s="1">
        <f t="shared" si="10"/>
        <v>42</v>
      </c>
      <c r="D46" s="1">
        <f t="shared" si="7"/>
        <v>27</v>
      </c>
      <c r="E46" s="1">
        <f t="shared" si="8"/>
        <v>109</v>
      </c>
      <c r="F46" s="4">
        <f t="shared" si="11"/>
        <v>1.3082477867037419E-3</v>
      </c>
      <c r="G46" s="4">
        <f t="shared" si="12"/>
        <v>0.14259900875070786</v>
      </c>
      <c r="H46" s="5">
        <f t="shared" si="13"/>
        <v>6288</v>
      </c>
      <c r="I46" s="2">
        <f t="shared" si="14"/>
        <v>191.11402671755724</v>
      </c>
      <c r="J46" s="8">
        <f t="shared" si="15"/>
        <v>9.8009845136193263E-5</v>
      </c>
      <c r="K46" s="1">
        <f t="shared" si="16"/>
        <v>109</v>
      </c>
      <c r="L46" s="2">
        <f t="shared" si="9"/>
        <v>230.75229357798165</v>
      </c>
    </row>
    <row r="47" spans="2:12">
      <c r="B47" s="2">
        <f t="shared" si="17"/>
        <v>205.3525026457138</v>
      </c>
      <c r="C47" s="1">
        <f t="shared" si="10"/>
        <v>43</v>
      </c>
      <c r="D47" s="1">
        <f t="shared" si="7"/>
        <v>29</v>
      </c>
      <c r="E47" s="1">
        <f t="shared" si="8"/>
        <v>117</v>
      </c>
      <c r="F47" s="4">
        <f t="shared" si="11"/>
        <v>1.2174188129146625E-3</v>
      </c>
      <c r="G47" s="4">
        <f t="shared" si="12"/>
        <v>0.14243800111101551</v>
      </c>
      <c r="H47" s="5">
        <f t="shared" si="13"/>
        <v>6281</v>
      </c>
      <c r="I47" s="2">
        <f t="shared" si="14"/>
        <v>205.36936793504219</v>
      </c>
      <c r="J47" s="8">
        <f t="shared" si="15"/>
        <v>8.2128482054466545E-5</v>
      </c>
      <c r="K47" s="1">
        <f t="shared" si="16"/>
        <v>117</v>
      </c>
      <c r="L47" s="2">
        <f t="shared" si="9"/>
        <v>214.73504273504273</v>
      </c>
    </row>
    <row r="48" spans="2:12">
      <c r="B48" s="2">
        <f t="shared" si="17"/>
        <v>220.67340690845811</v>
      </c>
      <c r="C48" s="1">
        <f t="shared" si="10"/>
        <v>44</v>
      </c>
      <c r="D48" s="1">
        <f t="shared" si="7"/>
        <v>32</v>
      </c>
      <c r="E48" s="1">
        <f t="shared" si="8"/>
        <v>129</v>
      </c>
      <c r="F48" s="4">
        <f t="shared" si="11"/>
        <v>1.1328959094002089E-3</v>
      </c>
      <c r="G48" s="4">
        <f t="shared" si="12"/>
        <v>0.14614357231262695</v>
      </c>
      <c r="H48" s="5">
        <f t="shared" si="13"/>
        <v>6444</v>
      </c>
      <c r="I48" s="2">
        <f t="shared" si="14"/>
        <v>220.70530726256982</v>
      </c>
      <c r="J48" s="8">
        <f t="shared" si="15"/>
        <v>1.4455912272626215E-4</v>
      </c>
      <c r="K48" s="1">
        <f t="shared" si="16"/>
        <v>129</v>
      </c>
      <c r="L48" s="2">
        <f t="shared" si="9"/>
        <v>199.81395348837211</v>
      </c>
    </row>
    <row r="49" spans="2:12">
      <c r="B49" s="2">
        <f t="shared" si="17"/>
        <v>237.13737056616458</v>
      </c>
      <c r="C49" s="1">
        <f t="shared" si="10"/>
        <v>45</v>
      </c>
      <c r="D49" s="1">
        <f t="shared" si="7"/>
        <v>34</v>
      </c>
      <c r="E49" s="1">
        <f t="shared" si="8"/>
        <v>137</v>
      </c>
      <c r="F49" s="4">
        <f t="shared" si="11"/>
        <v>1.0542412585714598E-3</v>
      </c>
      <c r="G49" s="4">
        <f t="shared" si="12"/>
        <v>0.14443105242429</v>
      </c>
      <c r="H49" s="5">
        <f t="shared" si="13"/>
        <v>6369</v>
      </c>
      <c r="I49" s="2">
        <f t="shared" si="14"/>
        <v>237.15261422515309</v>
      </c>
      <c r="J49" s="8">
        <f t="shared" si="15"/>
        <v>6.428197694918758E-5</v>
      </c>
      <c r="K49" s="1">
        <f t="shared" si="16"/>
        <v>137</v>
      </c>
      <c r="L49" s="2">
        <f t="shared" si="9"/>
        <v>185.95620437956205</v>
      </c>
    </row>
    <row r="50" spans="2:12">
      <c r="B50" s="2">
        <f t="shared" si="17"/>
        <v>254.82967479793362</v>
      </c>
      <c r="C50" s="1">
        <f t="shared" si="10"/>
        <v>46</v>
      </c>
      <c r="D50" s="1">
        <f t="shared" si="7"/>
        <v>37</v>
      </c>
      <c r="E50" s="1">
        <f t="shared" si="8"/>
        <v>149</v>
      </c>
      <c r="F50" s="4">
        <f t="shared" si="11"/>
        <v>9.8104743962113797E-4</v>
      </c>
      <c r="G50" s="4">
        <f t="shared" si="12"/>
        <v>0.14617606850354956</v>
      </c>
      <c r="H50" s="5">
        <f t="shared" si="13"/>
        <v>6446</v>
      </c>
      <c r="I50" s="2">
        <f t="shared" si="14"/>
        <v>254.84408935774124</v>
      </c>
      <c r="J50" s="8">
        <f t="shared" si="15"/>
        <v>5.6565467970060013E-5</v>
      </c>
      <c r="K50" s="1">
        <f t="shared" si="16"/>
        <v>149</v>
      </c>
      <c r="L50" s="2">
        <f t="shared" si="9"/>
        <v>173.04697986577182</v>
      </c>
    </row>
    <row r="51" spans="2:12">
      <c r="B51" s="2">
        <f t="shared" si="17"/>
        <v>273.84196342643497</v>
      </c>
      <c r="C51" s="1">
        <f t="shared" si="10"/>
        <v>47</v>
      </c>
      <c r="D51" s="1">
        <f t="shared" si="7"/>
        <v>40</v>
      </c>
      <c r="E51" s="1">
        <f t="shared" si="8"/>
        <v>161</v>
      </c>
      <c r="F51" s="4">
        <f t="shared" si="11"/>
        <v>9.1293531813709807E-4</v>
      </c>
      <c r="G51" s="4">
        <f t="shared" si="12"/>
        <v>0.14698258622007279</v>
      </c>
      <c r="H51" s="5">
        <f t="shared" si="13"/>
        <v>6481</v>
      </c>
      <c r="I51" s="2">
        <f t="shared" si="14"/>
        <v>273.88134547137787</v>
      </c>
      <c r="J51" s="8">
        <f t="shared" si="15"/>
        <v>1.4381303891530806E-4</v>
      </c>
      <c r="K51" s="1">
        <f t="shared" si="16"/>
        <v>161</v>
      </c>
      <c r="L51" s="2">
        <f t="shared" si="9"/>
        <v>161.01863354037266</v>
      </c>
    </row>
    <row r="52" spans="2:12">
      <c r="B52" s="2">
        <f t="shared" si="17"/>
        <v>294.27271762092693</v>
      </c>
      <c r="C52" s="1">
        <f t="shared" si="10"/>
        <v>48</v>
      </c>
      <c r="D52" s="1">
        <f t="shared" si="7"/>
        <v>43</v>
      </c>
      <c r="E52" s="1">
        <f t="shared" si="8"/>
        <v>173</v>
      </c>
      <c r="F52" s="4">
        <f t="shared" si="11"/>
        <v>8.4955208223564348E-4</v>
      </c>
      <c r="G52" s="4">
        <f t="shared" si="12"/>
        <v>0.14697251022676633</v>
      </c>
      <c r="H52" s="5">
        <f t="shared" si="13"/>
        <v>6481</v>
      </c>
      <c r="I52" s="2">
        <f t="shared" si="14"/>
        <v>294.29486190402719</v>
      </c>
      <c r="J52" s="8">
        <f t="shared" si="15"/>
        <v>7.5250887269673328E-5</v>
      </c>
      <c r="K52" s="1">
        <f t="shared" si="16"/>
        <v>173.00000000000003</v>
      </c>
      <c r="L52" s="2">
        <f t="shared" si="9"/>
        <v>149.84971098265893</v>
      </c>
    </row>
    <row r="53" spans="2:12">
      <c r="B53" s="2">
        <f t="shared" si="17"/>
        <v>316.22776601683654</v>
      </c>
      <c r="C53" s="1">
        <f t="shared" si="10"/>
        <v>49</v>
      </c>
      <c r="D53" s="1">
        <f t="shared" si="7"/>
        <v>46</v>
      </c>
      <c r="E53" s="1">
        <f t="shared" si="8"/>
        <v>185</v>
      </c>
      <c r="F53" s="4">
        <f t="shared" si="11"/>
        <v>7.9056941504209832E-4</v>
      </c>
      <c r="G53" s="4">
        <f t="shared" si="12"/>
        <v>0.14625534178278818</v>
      </c>
      <c r="H53" s="5">
        <f t="shared" si="13"/>
        <v>6449</v>
      </c>
      <c r="I53" s="2">
        <f t="shared" si="14"/>
        <v>316.26996433555593</v>
      </c>
      <c r="J53" s="8">
        <f t="shared" si="15"/>
        <v>1.3344280058302793E-4</v>
      </c>
      <c r="K53" s="1">
        <f t="shared" si="16"/>
        <v>185.00000000000003</v>
      </c>
      <c r="L53" s="2">
        <f t="shared" si="9"/>
        <v>139.4378378378378</v>
      </c>
    </row>
    <row r="54" spans="2:12">
      <c r="B54" s="2">
        <f t="shared" si="17"/>
        <v>339.82083289425441</v>
      </c>
      <c r="C54" s="1">
        <f t="shared" si="10"/>
        <v>50</v>
      </c>
      <c r="D54" s="1">
        <f t="shared" si="7"/>
        <v>49</v>
      </c>
      <c r="E54" s="1">
        <f t="shared" si="8"/>
        <v>197</v>
      </c>
      <c r="F54" s="4">
        <f t="shared" si="11"/>
        <v>7.3568179405232375E-4</v>
      </c>
      <c r="G54" s="4">
        <f t="shared" si="12"/>
        <v>0.14492931342830778</v>
      </c>
      <c r="H54" s="5">
        <f t="shared" si="13"/>
        <v>6391</v>
      </c>
      <c r="I54" s="2">
        <f t="shared" si="14"/>
        <v>339.84118291347204</v>
      </c>
      <c r="J54" s="8">
        <f t="shared" si="15"/>
        <v>5.9884554588052197E-5</v>
      </c>
      <c r="K54" s="1">
        <f t="shared" si="16"/>
        <v>197</v>
      </c>
      <c r="L54" s="2">
        <f t="shared" si="9"/>
        <v>129.76649746192894</v>
      </c>
    </row>
    <row r="55" spans="2:12">
      <c r="B55" s="2">
        <f t="shared" si="17"/>
        <v>365.17412725483604</v>
      </c>
      <c r="C55" s="1">
        <f t="shared" si="10"/>
        <v>51</v>
      </c>
      <c r="D55" s="1">
        <f t="shared" si="7"/>
        <v>53</v>
      </c>
      <c r="E55" s="1">
        <f t="shared" si="8"/>
        <v>213</v>
      </c>
      <c r="F55" s="4">
        <f t="shared" si="11"/>
        <v>6.8460490856609346E-4</v>
      </c>
      <c r="G55" s="4">
        <f t="shared" si="12"/>
        <v>0.14582084552457791</v>
      </c>
      <c r="H55" s="5">
        <f t="shared" si="13"/>
        <v>6430</v>
      </c>
      <c r="I55" s="2">
        <f t="shared" si="14"/>
        <v>365.21384136858478</v>
      </c>
      <c r="J55" s="8">
        <f t="shared" si="15"/>
        <v>1.0875390884690361E-4</v>
      </c>
      <c r="K55" s="1">
        <f t="shared" si="16"/>
        <v>213</v>
      </c>
      <c r="L55" s="2">
        <f t="shared" si="9"/>
        <v>120.75117370892019</v>
      </c>
    </row>
    <row r="56" spans="2:12">
      <c r="B56" s="2">
        <f t="shared" si="17"/>
        <v>392.41897584845174</v>
      </c>
      <c r="C56" s="1">
        <f t="shared" si="10"/>
        <v>52</v>
      </c>
      <c r="D56" s="1">
        <f t="shared" si="7"/>
        <v>57</v>
      </c>
      <c r="E56" s="1">
        <f t="shared" si="8"/>
        <v>229</v>
      </c>
      <c r="F56" s="4">
        <f t="shared" si="11"/>
        <v>6.370741869948396E-4</v>
      </c>
      <c r="G56" s="4">
        <f t="shared" si="12"/>
        <v>0.14588998882181828</v>
      </c>
      <c r="H56" s="5">
        <f t="shared" si="13"/>
        <v>6433</v>
      </c>
      <c r="I56" s="2">
        <f t="shared" si="14"/>
        <v>392.46463547334059</v>
      </c>
      <c r="J56" s="8">
        <f t="shared" si="15"/>
        <v>1.1635427361822437E-4</v>
      </c>
      <c r="K56" s="1">
        <f t="shared" si="16"/>
        <v>229</v>
      </c>
      <c r="L56" s="2">
        <f t="shared" si="9"/>
        <v>112.36681222707423</v>
      </c>
    </row>
    <row r="57" spans="2:12">
      <c r="B57" s="2">
        <f t="shared" si="17"/>
        <v>421.69650342858023</v>
      </c>
      <c r="C57" s="1">
        <f t="shared" si="10"/>
        <v>53</v>
      </c>
      <c r="D57" s="1">
        <f t="shared" si="7"/>
        <v>61</v>
      </c>
      <c r="E57" s="1">
        <f t="shared" si="8"/>
        <v>245</v>
      </c>
      <c r="F57" s="4">
        <f t="shared" si="11"/>
        <v>5.9284342641541666E-4</v>
      </c>
      <c r="G57" s="4">
        <f t="shared" si="12"/>
        <v>0.14524663947177707</v>
      </c>
      <c r="H57" s="5">
        <f t="shared" si="13"/>
        <v>6405</v>
      </c>
      <c r="I57" s="2">
        <f t="shared" si="14"/>
        <v>421.72131147540983</v>
      </c>
      <c r="J57" s="8">
        <f t="shared" si="15"/>
        <v>5.8829149940597958E-5</v>
      </c>
      <c r="K57" s="1">
        <f t="shared" si="16"/>
        <v>245</v>
      </c>
      <c r="L57" s="2">
        <f t="shared" si="9"/>
        <v>104.57142857142857</v>
      </c>
    </row>
    <row r="58" spans="2:12">
      <c r="B58" s="2">
        <f t="shared" si="17"/>
        <v>453.15836376007957</v>
      </c>
      <c r="C58" s="1">
        <f t="shared" si="10"/>
        <v>54</v>
      </c>
      <c r="D58" s="1">
        <f t="shared" si="7"/>
        <v>66</v>
      </c>
      <c r="E58" s="1">
        <f t="shared" si="8"/>
        <v>265</v>
      </c>
      <c r="F58" s="4">
        <f t="shared" si="11"/>
        <v>5.5168351727115014E-4</v>
      </c>
      <c r="G58" s="4">
        <f t="shared" si="12"/>
        <v>0.14619613207685478</v>
      </c>
      <c r="H58" s="5">
        <f t="shared" si="13"/>
        <v>6447</v>
      </c>
      <c r="I58" s="2">
        <f t="shared" si="14"/>
        <v>453.17589576547232</v>
      </c>
      <c r="J58" s="8">
        <f t="shared" si="15"/>
        <v>3.8688473599668427E-5</v>
      </c>
      <c r="K58" s="1">
        <f t="shared" si="16"/>
        <v>265</v>
      </c>
      <c r="L58" s="2">
        <f t="shared" si="9"/>
        <v>97.31320754716981</v>
      </c>
    </row>
    <row r="59" spans="2:12">
      <c r="B59" s="2">
        <f t="shared" si="17"/>
        <v>486.96752516586071</v>
      </c>
      <c r="C59" s="1">
        <f t="shared" si="10"/>
        <v>55</v>
      </c>
      <c r="D59" s="1">
        <f t="shared" si="7"/>
        <v>71</v>
      </c>
      <c r="E59" s="1">
        <f t="shared" si="8"/>
        <v>285</v>
      </c>
      <c r="F59" s="4">
        <f t="shared" si="11"/>
        <v>5.133812566142891E-4</v>
      </c>
      <c r="G59" s="4">
        <f t="shared" si="12"/>
        <v>0.14631365813507238</v>
      </c>
      <c r="H59" s="5">
        <f t="shared" si="13"/>
        <v>6452</v>
      </c>
      <c r="I59" s="2">
        <f t="shared" si="14"/>
        <v>487.00015499070054</v>
      </c>
      <c r="J59" s="8">
        <f t="shared" si="15"/>
        <v>6.7006161917460005E-5</v>
      </c>
      <c r="K59" s="1">
        <f t="shared" si="16"/>
        <v>285</v>
      </c>
      <c r="L59" s="2">
        <f t="shared" si="9"/>
        <v>90.554385964912285</v>
      </c>
    </row>
    <row r="60" spans="2:12">
      <c r="B60" s="2">
        <f t="shared" si="17"/>
        <v>523.29911468149203</v>
      </c>
      <c r="C60" s="1">
        <f t="shared" si="10"/>
        <v>56</v>
      </c>
      <c r="D60" s="1">
        <f t="shared" si="7"/>
        <v>76</v>
      </c>
      <c r="E60" s="1">
        <f t="shared" si="8"/>
        <v>305</v>
      </c>
      <c r="F60" s="4">
        <f t="shared" si="11"/>
        <v>4.7773824374261253E-4</v>
      </c>
      <c r="G60" s="4">
        <f t="shared" si="12"/>
        <v>0.14571016434149683</v>
      </c>
      <c r="H60" s="5">
        <f t="shared" si="13"/>
        <v>6425</v>
      </c>
      <c r="I60" s="2">
        <f t="shared" si="14"/>
        <v>523.3657587548638</v>
      </c>
      <c r="J60" s="8">
        <f t="shared" si="15"/>
        <v>1.2735369027394583E-4</v>
      </c>
      <c r="K60" s="1">
        <f t="shared" si="16"/>
        <v>305</v>
      </c>
      <c r="L60" s="2">
        <f t="shared" si="9"/>
        <v>84.26229508196721</v>
      </c>
    </row>
    <row r="61" spans="2:12">
      <c r="B61" s="2">
        <f t="shared" si="17"/>
        <v>562.3413251903462</v>
      </c>
      <c r="C61" s="1">
        <f t="shared" si="10"/>
        <v>57</v>
      </c>
      <c r="D61" s="1">
        <f t="shared" si="7"/>
        <v>82</v>
      </c>
      <c r="E61" s="1">
        <f t="shared" si="8"/>
        <v>329</v>
      </c>
      <c r="F61" s="4">
        <f t="shared" si="11"/>
        <v>4.4456985250973296E-4</v>
      </c>
      <c r="G61" s="4">
        <f t="shared" si="12"/>
        <v>0.14626348147570215</v>
      </c>
      <c r="H61" s="5">
        <f t="shared" si="13"/>
        <v>6450</v>
      </c>
      <c r="I61" s="2">
        <f t="shared" si="14"/>
        <v>562.3604651162791</v>
      </c>
      <c r="J61" s="8">
        <f t="shared" si="15"/>
        <v>3.4036136196125E-5</v>
      </c>
      <c r="K61" s="1">
        <f t="shared" si="16"/>
        <v>329</v>
      </c>
      <c r="L61" s="2">
        <f t="shared" si="9"/>
        <v>78.419452887538</v>
      </c>
    </row>
    <row r="62" spans="2:12">
      <c r="B62" s="2">
        <f t="shared" si="17"/>
        <v>604.29639023812967</v>
      </c>
      <c r="C62" s="1">
        <f t="shared" si="10"/>
        <v>58</v>
      </c>
      <c r="D62" s="1">
        <f t="shared" si="7"/>
        <v>88</v>
      </c>
      <c r="E62" s="1">
        <f t="shared" si="8"/>
        <v>353</v>
      </c>
      <c r="F62" s="4">
        <f t="shared" si="11"/>
        <v>4.1370427498579751E-4</v>
      </c>
      <c r="G62" s="4">
        <f t="shared" si="12"/>
        <v>0.14603760906998653</v>
      </c>
      <c r="H62" s="5">
        <f t="shared" si="13"/>
        <v>6440</v>
      </c>
      <c r="I62" s="2">
        <f t="shared" si="14"/>
        <v>604.320652173913</v>
      </c>
      <c r="J62" s="8">
        <f t="shared" si="15"/>
        <v>4.0149066212080697E-5</v>
      </c>
      <c r="K62" s="1">
        <f t="shared" si="16"/>
        <v>352.99999999999994</v>
      </c>
      <c r="L62" s="2">
        <f t="shared" si="9"/>
        <v>72.974504249291797</v>
      </c>
    </row>
    <row r="63" spans="2:12">
      <c r="B63" s="2">
        <f t="shared" si="17"/>
        <v>649.38163157620784</v>
      </c>
      <c r="C63" s="1">
        <f t="shared" si="10"/>
        <v>59</v>
      </c>
      <c r="D63" s="1">
        <f t="shared" si="7"/>
        <v>95</v>
      </c>
      <c r="E63" s="1">
        <f t="shared" si="8"/>
        <v>381</v>
      </c>
      <c r="F63" s="4">
        <f t="shared" si="11"/>
        <v>3.8498163151487507E-4</v>
      </c>
      <c r="G63" s="4">
        <f t="shared" si="12"/>
        <v>0.1466780016071674</v>
      </c>
      <c r="H63" s="5">
        <f t="shared" si="13"/>
        <v>6468</v>
      </c>
      <c r="I63" s="2">
        <f t="shared" si="14"/>
        <v>649.43181818181813</v>
      </c>
      <c r="J63" s="8">
        <f t="shared" si="15"/>
        <v>7.7283685232076849E-5</v>
      </c>
      <c r="K63" s="1">
        <f t="shared" si="16"/>
        <v>381</v>
      </c>
      <c r="L63" s="2">
        <f t="shared" si="9"/>
        <v>67.905511811023615</v>
      </c>
    </row>
    <row r="64" spans="2:12">
      <c r="B64" s="2">
        <f t="shared" si="17"/>
        <v>697.8305848598626</v>
      </c>
      <c r="C64" s="1">
        <f t="shared" si="10"/>
        <v>60</v>
      </c>
      <c r="D64" s="1">
        <f t="shared" si="7"/>
        <v>102</v>
      </c>
      <c r="E64" s="1">
        <f t="shared" si="8"/>
        <v>409</v>
      </c>
      <c r="F64" s="4">
        <f t="shared" si="11"/>
        <v>3.5825314255924262E-4</v>
      </c>
      <c r="G64" s="4">
        <f t="shared" si="12"/>
        <v>0.14652553530673024</v>
      </c>
      <c r="H64" s="5">
        <f t="shared" si="13"/>
        <v>6461</v>
      </c>
      <c r="I64" s="2">
        <f t="shared" si="14"/>
        <v>697.9144095341278</v>
      </c>
      <c r="J64" s="8">
        <f t="shared" si="15"/>
        <v>1.2012181191800586E-4</v>
      </c>
      <c r="K64" s="1">
        <f t="shared" si="16"/>
        <v>409</v>
      </c>
      <c r="L64" s="2">
        <f t="shared" si="9"/>
        <v>63.188264058679707</v>
      </c>
    </row>
    <row r="65" spans="2:12">
      <c r="B65" s="2">
        <f t="shared" si="17"/>
        <v>749.89420933245174</v>
      </c>
      <c r="C65" s="1">
        <f t="shared" si="10"/>
        <v>61</v>
      </c>
      <c r="D65" s="1">
        <f t="shared" si="7"/>
        <v>110</v>
      </c>
      <c r="E65" s="1">
        <f t="shared" si="8"/>
        <v>441</v>
      </c>
      <c r="F65" s="4">
        <f t="shared" si="11"/>
        <v>3.333803580408328E-4</v>
      </c>
      <c r="G65" s="4">
        <f t="shared" si="12"/>
        <v>0.14702073789600725</v>
      </c>
      <c r="H65" s="5">
        <f t="shared" si="13"/>
        <v>6483</v>
      </c>
      <c r="I65" s="2">
        <f t="shared" si="14"/>
        <v>749.96529384544192</v>
      </c>
      <c r="J65" s="8">
        <f t="shared" si="15"/>
        <v>9.4792721567316107E-5</v>
      </c>
      <c r="K65" s="1">
        <f t="shared" si="16"/>
        <v>441</v>
      </c>
      <c r="L65" s="2">
        <f t="shared" si="9"/>
        <v>58.802721088435376</v>
      </c>
    </row>
    <row r="66" spans="2:12">
      <c r="B66" s="2">
        <f t="shared" si="17"/>
        <v>805.84218776147736</v>
      </c>
      <c r="C66" s="1">
        <f t="shared" si="10"/>
        <v>62</v>
      </c>
      <c r="D66" s="1">
        <f t="shared" si="7"/>
        <v>118</v>
      </c>
      <c r="E66" s="1">
        <f t="shared" si="8"/>
        <v>473</v>
      </c>
      <c r="F66" s="4">
        <f t="shared" si="11"/>
        <v>3.1023444018793162E-4</v>
      </c>
      <c r="G66" s="4">
        <f t="shared" si="12"/>
        <v>0.14674089020889167</v>
      </c>
      <c r="H66" s="5">
        <f t="shared" si="13"/>
        <v>6471</v>
      </c>
      <c r="I66" s="2">
        <f t="shared" si="14"/>
        <v>805.87621696801102</v>
      </c>
      <c r="J66" s="8">
        <f t="shared" si="15"/>
        <v>4.2228127355992129E-5</v>
      </c>
      <c r="K66" s="1">
        <f t="shared" si="16"/>
        <v>472.99999999999994</v>
      </c>
      <c r="L66" s="2">
        <f t="shared" si="9"/>
        <v>54.723044397463006</v>
      </c>
    </row>
    <row r="67" spans="2:12">
      <c r="B67" s="2">
        <f t="shared" si="17"/>
        <v>865.96432336006046</v>
      </c>
      <c r="C67" s="1">
        <f t="shared" si="10"/>
        <v>63</v>
      </c>
      <c r="D67" s="1">
        <f t="shared" si="7"/>
        <v>127</v>
      </c>
      <c r="E67" s="1">
        <f t="shared" si="8"/>
        <v>509</v>
      </c>
      <c r="F67" s="4">
        <f t="shared" si="11"/>
        <v>2.8869549617236616E-4</v>
      </c>
      <c r="G67" s="4">
        <f t="shared" si="12"/>
        <v>0.14694600755173437</v>
      </c>
      <c r="H67" s="5">
        <f t="shared" si="13"/>
        <v>6480</v>
      </c>
      <c r="I67" s="2">
        <f t="shared" si="14"/>
        <v>866.00694444444446</v>
      </c>
      <c r="J67" s="8">
        <f t="shared" si="15"/>
        <v>4.9218060414579767E-5</v>
      </c>
      <c r="K67" s="1">
        <f t="shared" si="16"/>
        <v>509</v>
      </c>
      <c r="L67" s="2">
        <f t="shared" si="9"/>
        <v>50.923379174852656</v>
      </c>
    </row>
    <row r="68" spans="2:12">
      <c r="B68" s="2">
        <f t="shared" si="17"/>
        <v>930.57204092969369</v>
      </c>
      <c r="C68" s="1">
        <f t="shared" si="10"/>
        <v>64</v>
      </c>
      <c r="D68" s="1">
        <f t="shared" si="7"/>
        <v>136</v>
      </c>
      <c r="E68" s="1">
        <f t="shared" si="8"/>
        <v>545</v>
      </c>
      <c r="F68" s="4">
        <f t="shared" si="11"/>
        <v>2.6865195708033091E-4</v>
      </c>
      <c r="G68" s="4">
        <f t="shared" si="12"/>
        <v>0.14641531660878035</v>
      </c>
      <c r="H68" s="5">
        <f t="shared" si="13"/>
        <v>6456</v>
      </c>
      <c r="I68" s="2">
        <f t="shared" si="14"/>
        <v>930.7039962825279</v>
      </c>
      <c r="J68" s="8">
        <f t="shared" si="15"/>
        <v>1.4180025514454186E-4</v>
      </c>
      <c r="K68" s="1">
        <f t="shared" si="16"/>
        <v>545</v>
      </c>
      <c r="L68" s="2">
        <f t="shared" si="9"/>
        <v>47.383486238532107</v>
      </c>
    </row>
    <row r="69" spans="2:12">
      <c r="B69" s="2">
        <f t="shared" si="17"/>
        <v>999.9999999999942</v>
      </c>
      <c r="C69" s="1">
        <f t="shared" si="10"/>
        <v>65</v>
      </c>
      <c r="D69" s="1">
        <f t="shared" si="7"/>
        <v>146</v>
      </c>
      <c r="E69" s="1">
        <f t="shared" si="8"/>
        <v>585</v>
      </c>
      <c r="F69" s="4">
        <f t="shared" ref="F69:F95" si="18">1/B69/4</f>
        <v>2.5000000000000147E-4</v>
      </c>
      <c r="G69" s="4">
        <f t="shared" ref="G69:G95" si="19">E69*F69</f>
        <v>0.14625000000000085</v>
      </c>
      <c r="H69" s="5">
        <f t="shared" ref="H69:H95" si="20">INT(G69*_rate)</f>
        <v>6449</v>
      </c>
      <c r="I69" s="2">
        <f t="shared" ref="I69:I95" si="21">E69/H69/4*_rate</f>
        <v>1000.0969142502714</v>
      </c>
      <c r="J69" s="8">
        <f t="shared" ref="J69:J95" si="22">(I69/B69-1)</f>
        <v>9.6914250277135849E-5</v>
      </c>
      <c r="K69" s="1">
        <f t="shared" ref="K69:K95" si="23">4*I69*H69/_rate</f>
        <v>585</v>
      </c>
      <c r="L69" s="2">
        <f t="shared" si="9"/>
        <v>44.095726495726495</v>
      </c>
    </row>
    <row r="70" spans="2:12">
      <c r="B70" s="2">
        <f t="shared" ref="B70:B101" si="24">B69*_mult</f>
        <v>1074.6078283213112</v>
      </c>
      <c r="C70" s="1">
        <f t="shared" si="10"/>
        <v>66</v>
      </c>
      <c r="D70" s="1">
        <f t="shared" ref="D70:D95" si="25">INT((B70/1.7-1)/4)</f>
        <v>157</v>
      </c>
      <c r="E70" s="1">
        <f t="shared" ref="E70:E95" si="26">4*D70+1</f>
        <v>629</v>
      </c>
      <c r="F70" s="4">
        <f t="shared" si="18"/>
        <v>2.3264301023242611E-4</v>
      </c>
      <c r="G70" s="4">
        <f t="shared" si="19"/>
        <v>0.14633245343619602</v>
      </c>
      <c r="H70" s="5">
        <f t="shared" si="20"/>
        <v>6453</v>
      </c>
      <c r="I70" s="2">
        <f t="shared" si="21"/>
        <v>1074.6513249651325</v>
      </c>
      <c r="J70" s="8">
        <f t="shared" si="22"/>
        <v>4.0476760614360785E-5</v>
      </c>
      <c r="K70" s="1">
        <f t="shared" si="23"/>
        <v>629</v>
      </c>
      <c r="L70" s="2">
        <f t="shared" ref="L70:L95" si="27">4*H70/K70</f>
        <v>41.036565977742448</v>
      </c>
    </row>
    <row r="71" spans="2:12">
      <c r="B71" s="2">
        <f t="shared" si="24"/>
        <v>1154.7819846894513</v>
      </c>
      <c r="C71" s="1">
        <f t="shared" ref="C71:C101" si="28">C70+1</f>
        <v>67</v>
      </c>
      <c r="D71" s="1">
        <f t="shared" si="25"/>
        <v>169</v>
      </c>
      <c r="E71" s="1">
        <f t="shared" si="26"/>
        <v>677</v>
      </c>
      <c r="F71" s="4">
        <f t="shared" si="18"/>
        <v>2.1649108084001762E-4</v>
      </c>
      <c r="G71" s="4">
        <f t="shared" si="19"/>
        <v>0.14656446172869192</v>
      </c>
      <c r="H71" s="5">
        <f t="shared" si="20"/>
        <v>6463</v>
      </c>
      <c r="I71" s="2">
        <f t="shared" si="21"/>
        <v>1154.8700293981124</v>
      </c>
      <c r="J71" s="8">
        <f t="shared" si="22"/>
        <v>7.6243576561108028E-5</v>
      </c>
      <c r="K71" s="1">
        <f t="shared" si="23"/>
        <v>677</v>
      </c>
      <c r="L71" s="2">
        <f t="shared" si="27"/>
        <v>38.186115214180205</v>
      </c>
    </row>
    <row r="72" spans="2:12">
      <c r="B72" s="2">
        <f t="shared" si="24"/>
        <v>1240.9377607517119</v>
      </c>
      <c r="C72" s="1">
        <f t="shared" si="28"/>
        <v>68</v>
      </c>
      <c r="D72" s="1">
        <f t="shared" si="25"/>
        <v>182</v>
      </c>
      <c r="E72" s="1">
        <f t="shared" si="26"/>
        <v>729</v>
      </c>
      <c r="F72" s="4">
        <f t="shared" si="18"/>
        <v>2.0146054694037169E-4</v>
      </c>
      <c r="G72" s="4">
        <f t="shared" si="19"/>
        <v>0.14686473871953096</v>
      </c>
      <c r="H72" s="5">
        <f t="shared" si="20"/>
        <v>6476</v>
      </c>
      <c r="I72" s="2">
        <f t="shared" si="21"/>
        <v>1241.0785978999381</v>
      </c>
      <c r="J72" s="8">
        <f t="shared" si="22"/>
        <v>1.1349251564474194E-4</v>
      </c>
      <c r="K72" s="1">
        <f t="shared" si="23"/>
        <v>728.99999999999989</v>
      </c>
      <c r="L72" s="2">
        <f t="shared" si="27"/>
        <v>35.533607681755832</v>
      </c>
    </row>
    <row r="73" spans="2:12">
      <c r="B73" s="2">
        <f t="shared" si="24"/>
        <v>1333.5214321633157</v>
      </c>
      <c r="C73" s="1">
        <f t="shared" si="28"/>
        <v>69</v>
      </c>
      <c r="D73" s="1">
        <f t="shared" si="25"/>
        <v>195</v>
      </c>
      <c r="E73" s="1">
        <f t="shared" si="26"/>
        <v>781</v>
      </c>
      <c r="F73" s="4">
        <f t="shared" si="18"/>
        <v>1.8747355233311513E-4</v>
      </c>
      <c r="G73" s="4">
        <f t="shared" si="19"/>
        <v>0.14641684437216293</v>
      </c>
      <c r="H73" s="5">
        <f t="shared" si="20"/>
        <v>6456</v>
      </c>
      <c r="I73" s="2">
        <f t="shared" si="21"/>
        <v>1333.7244423791822</v>
      </c>
      <c r="J73" s="8">
        <f t="shared" si="22"/>
        <v>1.522361853136811E-4</v>
      </c>
      <c r="K73" s="1">
        <f t="shared" si="23"/>
        <v>781</v>
      </c>
      <c r="L73" s="2">
        <f t="shared" si="27"/>
        <v>33.065300896286814</v>
      </c>
    </row>
    <row r="74" spans="2:12">
      <c r="B74" s="2">
        <f t="shared" si="24"/>
        <v>1433.0125702369537</v>
      </c>
      <c r="C74" s="1">
        <f t="shared" si="28"/>
        <v>70</v>
      </c>
      <c r="D74" s="1">
        <f t="shared" si="25"/>
        <v>210</v>
      </c>
      <c r="E74" s="1">
        <f t="shared" si="26"/>
        <v>841</v>
      </c>
      <c r="F74" s="4">
        <f t="shared" si="18"/>
        <v>1.7445764621496767E-4</v>
      </c>
      <c r="G74" s="4">
        <f t="shared" si="19"/>
        <v>0.1467188804667878</v>
      </c>
      <c r="H74" s="5">
        <f t="shared" si="20"/>
        <v>6470</v>
      </c>
      <c r="I74" s="2">
        <f t="shared" si="21"/>
        <v>1433.0795981452861</v>
      </c>
      <c r="J74" s="8">
        <f t="shared" si="22"/>
        <v>4.6774124473625278E-5</v>
      </c>
      <c r="K74" s="1">
        <f t="shared" si="23"/>
        <v>841.00000000000011</v>
      </c>
      <c r="L74" s="2">
        <f t="shared" si="27"/>
        <v>30.772889417360282</v>
      </c>
    </row>
    <row r="75" spans="2:12">
      <c r="B75" s="2">
        <f t="shared" si="24"/>
        <v>1539.9265260594821</v>
      </c>
      <c r="C75" s="1">
        <f t="shared" si="28"/>
        <v>71</v>
      </c>
      <c r="D75" s="1">
        <f t="shared" si="25"/>
        <v>226</v>
      </c>
      <c r="E75" s="1">
        <f t="shared" si="26"/>
        <v>905</v>
      </c>
      <c r="F75" s="4">
        <f t="shared" si="18"/>
        <v>1.6234540789405387E-4</v>
      </c>
      <c r="G75" s="4">
        <f t="shared" si="19"/>
        <v>0.14692259414411873</v>
      </c>
      <c r="H75" s="5">
        <f t="shared" si="20"/>
        <v>6479</v>
      </c>
      <c r="I75" s="2">
        <f t="shared" si="21"/>
        <v>1539.9945979317795</v>
      </c>
      <c r="J75" s="8">
        <f t="shared" si="22"/>
        <v>4.4204623496968409E-5</v>
      </c>
      <c r="K75" s="1">
        <f t="shared" si="23"/>
        <v>905</v>
      </c>
      <c r="L75" s="2">
        <f t="shared" si="27"/>
        <v>28.636464088397791</v>
      </c>
    </row>
    <row r="76" spans="2:12">
      <c r="B76" s="2">
        <f t="shared" si="24"/>
        <v>1654.8170999431707</v>
      </c>
      <c r="C76" s="1">
        <f t="shared" si="28"/>
        <v>72</v>
      </c>
      <c r="D76" s="1">
        <f t="shared" si="25"/>
        <v>243</v>
      </c>
      <c r="E76" s="1">
        <f t="shared" si="26"/>
        <v>973</v>
      </c>
      <c r="F76" s="4">
        <f t="shared" si="18"/>
        <v>1.5107409755953419E-4</v>
      </c>
      <c r="G76" s="4">
        <f t="shared" si="19"/>
        <v>0.14699509692542678</v>
      </c>
      <c r="H76" s="5">
        <f t="shared" si="20"/>
        <v>6482</v>
      </c>
      <c r="I76" s="2">
        <f t="shared" si="21"/>
        <v>1654.9406047516197</v>
      </c>
      <c r="J76" s="8">
        <f t="shared" si="22"/>
        <v>7.4633509922872321E-5</v>
      </c>
      <c r="K76" s="1">
        <f t="shared" si="23"/>
        <v>973</v>
      </c>
      <c r="L76" s="2">
        <f t="shared" si="27"/>
        <v>26.647482014388491</v>
      </c>
    </row>
    <row r="77" spans="2:12">
      <c r="B77" s="2">
        <f t="shared" si="24"/>
        <v>1778.279410038911</v>
      </c>
      <c r="C77" s="1">
        <f t="shared" si="28"/>
        <v>73</v>
      </c>
      <c r="D77" s="1">
        <f t="shared" si="25"/>
        <v>261</v>
      </c>
      <c r="E77" s="1">
        <f t="shared" si="26"/>
        <v>1045</v>
      </c>
      <c r="F77" s="4">
        <f t="shared" si="18"/>
        <v>1.405853312975882E-4</v>
      </c>
      <c r="G77" s="4">
        <f t="shared" si="19"/>
        <v>0.14691167120597967</v>
      </c>
      <c r="H77" s="5">
        <f t="shared" si="20"/>
        <v>6478</v>
      </c>
      <c r="I77" s="2">
        <f t="shared" si="21"/>
        <v>1778.5003087372647</v>
      </c>
      <c r="J77" s="8">
        <f t="shared" si="22"/>
        <v>1.2422046676507925E-4</v>
      </c>
      <c r="K77" s="1">
        <f t="shared" si="23"/>
        <v>1045</v>
      </c>
      <c r="L77" s="2">
        <f t="shared" si="27"/>
        <v>24.796172248803828</v>
      </c>
    </row>
    <row r="78" spans="2:12">
      <c r="B78" s="2">
        <f t="shared" si="24"/>
        <v>1910.9529749704277</v>
      </c>
      <c r="C78" s="1">
        <f t="shared" si="28"/>
        <v>74</v>
      </c>
      <c r="D78" s="1">
        <f t="shared" si="25"/>
        <v>280</v>
      </c>
      <c r="E78" s="1">
        <f t="shared" si="26"/>
        <v>1121</v>
      </c>
      <c r="F78" s="4">
        <f t="shared" si="18"/>
        <v>1.3082477867037455E-4</v>
      </c>
      <c r="G78" s="4">
        <f t="shared" si="19"/>
        <v>0.14665457688948988</v>
      </c>
      <c r="H78" s="5">
        <f t="shared" si="20"/>
        <v>6467</v>
      </c>
      <c r="I78" s="2">
        <f t="shared" si="21"/>
        <v>1911.0909231482913</v>
      </c>
      <c r="J78" s="8">
        <f t="shared" si="22"/>
        <v>7.2188159347952308E-5</v>
      </c>
      <c r="K78" s="1">
        <f t="shared" si="23"/>
        <v>1121</v>
      </c>
      <c r="L78" s="2">
        <f t="shared" si="27"/>
        <v>23.075825156110614</v>
      </c>
    </row>
    <row r="79" spans="2:12">
      <c r="B79" s="2">
        <f t="shared" si="24"/>
        <v>2053.5250264571323</v>
      </c>
      <c r="C79" s="1">
        <f t="shared" si="28"/>
        <v>75</v>
      </c>
      <c r="D79" s="1">
        <f t="shared" si="25"/>
        <v>301</v>
      </c>
      <c r="E79" s="1">
        <f t="shared" si="26"/>
        <v>1205</v>
      </c>
      <c r="F79" s="4">
        <f t="shared" si="18"/>
        <v>1.217418812914666E-4</v>
      </c>
      <c r="G79" s="4">
        <f t="shared" si="19"/>
        <v>0.14669896695621726</v>
      </c>
      <c r="H79" s="5">
        <f t="shared" si="20"/>
        <v>6469</v>
      </c>
      <c r="I79" s="2">
        <f t="shared" si="21"/>
        <v>2053.6597619415675</v>
      </c>
      <c r="J79" s="8">
        <f t="shared" si="22"/>
        <v>6.5611805407428392E-5</v>
      </c>
      <c r="K79" s="1">
        <f t="shared" si="23"/>
        <v>1205</v>
      </c>
      <c r="L79" s="2">
        <f t="shared" si="27"/>
        <v>21.473858921161824</v>
      </c>
    </row>
    <row r="80" spans="2:12">
      <c r="B80" s="2">
        <f t="shared" si="24"/>
        <v>2206.7340690845749</v>
      </c>
      <c r="C80" s="1">
        <f t="shared" si="28"/>
        <v>76</v>
      </c>
      <c r="D80" s="1">
        <f t="shared" si="25"/>
        <v>324</v>
      </c>
      <c r="E80" s="1">
        <f t="shared" si="26"/>
        <v>1297</v>
      </c>
      <c r="F80" s="4">
        <f t="shared" si="18"/>
        <v>1.1328959094002121E-4</v>
      </c>
      <c r="G80" s="4">
        <f t="shared" si="19"/>
        <v>0.14693659944920751</v>
      </c>
      <c r="H80" s="5">
        <f t="shared" si="20"/>
        <v>6479</v>
      </c>
      <c r="I80" s="2">
        <f t="shared" si="21"/>
        <v>2207.0419817873126</v>
      </c>
      <c r="J80" s="8">
        <f t="shared" si="22"/>
        <v>1.3953321655346684E-4</v>
      </c>
      <c r="K80" s="1">
        <f t="shared" si="23"/>
        <v>1296.9999999999998</v>
      </c>
      <c r="L80" s="2">
        <f t="shared" si="27"/>
        <v>19.981495759444876</v>
      </c>
    </row>
    <row r="81" spans="2:12">
      <c r="B81" s="2">
        <f t="shared" si="24"/>
        <v>2371.3737056616392</v>
      </c>
      <c r="C81" s="1">
        <f t="shared" si="28"/>
        <v>77</v>
      </c>
      <c r="D81" s="1">
        <f t="shared" si="25"/>
        <v>348</v>
      </c>
      <c r="E81" s="1">
        <f t="shared" si="26"/>
        <v>1393</v>
      </c>
      <c r="F81" s="4">
        <f t="shared" si="18"/>
        <v>1.0542412585714628E-4</v>
      </c>
      <c r="G81" s="4">
        <f t="shared" si="19"/>
        <v>0.14685580731900477</v>
      </c>
      <c r="H81" s="5">
        <f t="shared" si="20"/>
        <v>6476</v>
      </c>
      <c r="I81" s="2">
        <f t="shared" si="21"/>
        <v>2371.498610253243</v>
      </c>
      <c r="J81" s="8">
        <f t="shared" si="22"/>
        <v>5.2671829541495185E-5</v>
      </c>
      <c r="K81" s="1">
        <f t="shared" si="23"/>
        <v>1393.0000000000002</v>
      </c>
      <c r="L81" s="2">
        <f t="shared" si="27"/>
        <v>18.595836324479539</v>
      </c>
    </row>
    <row r="82" spans="2:12">
      <c r="B82" s="2">
        <f t="shared" si="24"/>
        <v>2548.2967479793292</v>
      </c>
      <c r="C82" s="1">
        <f t="shared" si="28"/>
        <v>78</v>
      </c>
      <c r="D82" s="1">
        <f t="shared" si="25"/>
        <v>374</v>
      </c>
      <c r="E82" s="1">
        <f t="shared" si="26"/>
        <v>1497</v>
      </c>
      <c r="F82" s="4">
        <f t="shared" si="18"/>
        <v>9.8104743962114063E-5</v>
      </c>
      <c r="G82" s="4">
        <f t="shared" si="19"/>
        <v>0.14686280171128474</v>
      </c>
      <c r="H82" s="5">
        <f t="shared" si="20"/>
        <v>6476</v>
      </c>
      <c r="I82" s="2">
        <f t="shared" si="21"/>
        <v>2548.5523471278566</v>
      </c>
      <c r="J82" s="8">
        <f t="shared" si="22"/>
        <v>1.0030195609278536E-4</v>
      </c>
      <c r="K82" s="1">
        <f t="shared" si="23"/>
        <v>1497</v>
      </c>
      <c r="L82" s="2">
        <f t="shared" si="27"/>
        <v>17.303941215764862</v>
      </c>
    </row>
    <row r="83" spans="2:12">
      <c r="B83" s="2">
        <f t="shared" si="24"/>
        <v>2738.4196342643427</v>
      </c>
      <c r="C83" s="1">
        <f t="shared" si="28"/>
        <v>79</v>
      </c>
      <c r="D83" s="1">
        <f t="shared" si="25"/>
        <v>402</v>
      </c>
      <c r="E83" s="1">
        <f t="shared" si="26"/>
        <v>1609</v>
      </c>
      <c r="F83" s="4">
        <f t="shared" si="18"/>
        <v>9.1293531813710048E-5</v>
      </c>
      <c r="G83" s="4">
        <f t="shared" si="19"/>
        <v>0.14689129268825946</v>
      </c>
      <c r="H83" s="5">
        <f t="shared" si="20"/>
        <v>6477</v>
      </c>
      <c r="I83" s="2">
        <f t="shared" si="21"/>
        <v>2738.8026864289022</v>
      </c>
      <c r="J83" s="8">
        <f t="shared" si="22"/>
        <v>1.3988073988602245E-4</v>
      </c>
      <c r="K83" s="1">
        <f t="shared" si="23"/>
        <v>1609</v>
      </c>
      <c r="L83" s="2">
        <f t="shared" si="27"/>
        <v>16.101926662523308</v>
      </c>
    </row>
    <row r="84" spans="2:12">
      <c r="B84" s="2">
        <f t="shared" si="24"/>
        <v>2942.7271762092614</v>
      </c>
      <c r="C84" s="1">
        <f t="shared" si="28"/>
        <v>80</v>
      </c>
      <c r="D84" s="1">
        <f t="shared" si="25"/>
        <v>432</v>
      </c>
      <c r="E84" s="1">
        <f t="shared" si="26"/>
        <v>1729</v>
      </c>
      <c r="F84" s="4">
        <f t="shared" si="18"/>
        <v>8.4955208223564573E-5</v>
      </c>
      <c r="G84" s="4">
        <f t="shared" si="19"/>
        <v>0.14688755501854314</v>
      </c>
      <c r="H84" s="5">
        <f t="shared" si="20"/>
        <v>6477</v>
      </c>
      <c r="I84" s="2">
        <f t="shared" si="21"/>
        <v>2943.0639184807783</v>
      </c>
      <c r="J84" s="8">
        <f t="shared" si="22"/>
        <v>1.1443203917749223E-4</v>
      </c>
      <c r="K84" s="1">
        <f t="shared" si="23"/>
        <v>1729</v>
      </c>
      <c r="L84" s="2">
        <f t="shared" si="27"/>
        <v>14.984384037015616</v>
      </c>
    </row>
    <row r="85" spans="2:12">
      <c r="B85" s="2">
        <f t="shared" si="24"/>
        <v>3162.2776601683572</v>
      </c>
      <c r="C85" s="1">
        <f t="shared" si="28"/>
        <v>81</v>
      </c>
      <c r="D85" s="1">
        <f t="shared" si="25"/>
        <v>464</v>
      </c>
      <c r="E85" s="1">
        <f t="shared" si="26"/>
        <v>1857</v>
      </c>
      <c r="F85" s="4">
        <f t="shared" si="18"/>
        <v>7.9056941504210041E-5</v>
      </c>
      <c r="G85" s="4">
        <f t="shared" si="19"/>
        <v>0.14680874037331804</v>
      </c>
      <c r="H85" s="5">
        <f t="shared" si="20"/>
        <v>6474</v>
      </c>
      <c r="I85" s="2">
        <f t="shared" si="21"/>
        <v>3162.4073215940689</v>
      </c>
      <c r="J85" s="8">
        <f t="shared" si="22"/>
        <v>4.100254299133077E-5</v>
      </c>
      <c r="K85" s="1">
        <f t="shared" si="23"/>
        <v>1857.0000000000002</v>
      </c>
      <c r="L85" s="2">
        <f t="shared" si="27"/>
        <v>13.945072697899837</v>
      </c>
    </row>
    <row r="86" spans="2:12">
      <c r="B86" s="2">
        <f t="shared" si="24"/>
        <v>3398.2083289425354</v>
      </c>
      <c r="C86" s="1">
        <f t="shared" si="28"/>
        <v>82</v>
      </c>
      <c r="D86" s="1">
        <f t="shared" si="25"/>
        <v>499</v>
      </c>
      <c r="E86" s="1">
        <f t="shared" si="26"/>
        <v>1997</v>
      </c>
      <c r="F86" s="4">
        <f t="shared" si="18"/>
        <v>7.3568179405232557E-5</v>
      </c>
      <c r="G86" s="4">
        <f t="shared" si="19"/>
        <v>0.14691565427224942</v>
      </c>
      <c r="H86" s="5">
        <f t="shared" si="20"/>
        <v>6478</v>
      </c>
      <c r="I86" s="2">
        <f t="shared" si="21"/>
        <v>3398.7225995677677</v>
      </c>
      <c r="J86" s="8">
        <f t="shared" si="22"/>
        <v>1.5133581447979161E-4</v>
      </c>
      <c r="K86" s="1">
        <f t="shared" si="23"/>
        <v>1997</v>
      </c>
      <c r="L86" s="2">
        <f t="shared" si="27"/>
        <v>12.975463194792189</v>
      </c>
    </row>
    <row r="87" spans="2:12">
      <c r="B87" s="2">
        <f t="shared" si="24"/>
        <v>3651.7412725483509</v>
      </c>
      <c r="C87" s="1">
        <f t="shared" si="28"/>
        <v>83</v>
      </c>
      <c r="D87" s="1">
        <f t="shared" si="25"/>
        <v>536</v>
      </c>
      <c r="E87" s="1">
        <f t="shared" si="26"/>
        <v>2145</v>
      </c>
      <c r="F87" s="4">
        <f t="shared" si="18"/>
        <v>6.8460490856609528E-5</v>
      </c>
      <c r="G87" s="4">
        <f t="shared" si="19"/>
        <v>0.14684775288742744</v>
      </c>
      <c r="H87" s="5">
        <f t="shared" si="20"/>
        <v>6475</v>
      </c>
      <c r="I87" s="2">
        <f t="shared" si="21"/>
        <v>3652.2972972972975</v>
      </c>
      <c r="J87" s="8">
        <f t="shared" si="22"/>
        <v>1.5226290896519501E-4</v>
      </c>
      <c r="K87" s="1">
        <f t="shared" si="23"/>
        <v>2145</v>
      </c>
      <c r="L87" s="2">
        <f t="shared" si="27"/>
        <v>12.074592074592074</v>
      </c>
    </row>
    <row r="88" spans="2:12">
      <c r="B88" s="2">
        <f t="shared" si="24"/>
        <v>3924.1897584845074</v>
      </c>
      <c r="C88" s="1">
        <f t="shared" si="28"/>
        <v>84</v>
      </c>
      <c r="D88" s="1">
        <f t="shared" si="25"/>
        <v>576</v>
      </c>
      <c r="E88" s="1">
        <f t="shared" si="26"/>
        <v>2305</v>
      </c>
      <c r="F88" s="4">
        <f t="shared" si="18"/>
        <v>6.3707418699484119E-5</v>
      </c>
      <c r="G88" s="4">
        <f t="shared" si="19"/>
        <v>0.1468456001023109</v>
      </c>
      <c r="H88" s="5">
        <f t="shared" si="20"/>
        <v>6475</v>
      </c>
      <c r="I88" s="2">
        <f t="shared" si="21"/>
        <v>3924.7297297297296</v>
      </c>
      <c r="J88" s="8">
        <f t="shared" si="22"/>
        <v>1.3760069682011711E-4</v>
      </c>
      <c r="K88" s="1">
        <f t="shared" si="23"/>
        <v>2305</v>
      </c>
      <c r="L88" s="2">
        <f t="shared" si="27"/>
        <v>11.23644251626898</v>
      </c>
    </row>
    <row r="89" spans="2:12">
      <c r="B89" s="2">
        <f t="shared" si="24"/>
        <v>4216.9650342857913</v>
      </c>
      <c r="C89" s="1">
        <f t="shared" si="28"/>
        <v>85</v>
      </c>
      <c r="D89" s="1">
        <f t="shared" si="25"/>
        <v>619</v>
      </c>
      <c r="E89" s="1">
        <f t="shared" si="26"/>
        <v>2477</v>
      </c>
      <c r="F89" s="4">
        <f t="shared" si="18"/>
        <v>5.9284342641541818E-5</v>
      </c>
      <c r="G89" s="4">
        <f t="shared" si="19"/>
        <v>0.14684731672309909</v>
      </c>
      <c r="H89" s="5">
        <f t="shared" si="20"/>
        <v>6475</v>
      </c>
      <c r="I89" s="2">
        <f t="shared" si="21"/>
        <v>4217.594594594595</v>
      </c>
      <c r="J89" s="8">
        <f t="shared" si="22"/>
        <v>1.4929227624249641E-4</v>
      </c>
      <c r="K89" s="1">
        <f t="shared" si="23"/>
        <v>2477.0000000000005</v>
      </c>
      <c r="L89" s="2">
        <f t="shared" si="27"/>
        <v>10.456197012515137</v>
      </c>
    </row>
    <row r="90" spans="2:12">
      <c r="B90" s="2">
        <f t="shared" si="24"/>
        <v>4531.5836376007837</v>
      </c>
      <c r="C90" s="1">
        <f t="shared" si="28"/>
        <v>86</v>
      </c>
      <c r="D90" s="1">
        <f t="shared" si="25"/>
        <v>666</v>
      </c>
      <c r="E90" s="1">
        <f t="shared" si="26"/>
        <v>2665</v>
      </c>
      <c r="F90" s="4">
        <f t="shared" si="18"/>
        <v>5.5168351727115164E-5</v>
      </c>
      <c r="G90" s="4">
        <f t="shared" si="19"/>
        <v>0.14702365735276191</v>
      </c>
      <c r="H90" s="5">
        <f t="shared" si="20"/>
        <v>6483</v>
      </c>
      <c r="I90" s="2">
        <f t="shared" si="21"/>
        <v>4532.1031929662195</v>
      </c>
      <c r="J90" s="8">
        <f t="shared" si="22"/>
        <v>1.1465205256833144E-4</v>
      </c>
      <c r="K90" s="1">
        <f t="shared" si="23"/>
        <v>2665</v>
      </c>
      <c r="L90" s="2">
        <f t="shared" si="27"/>
        <v>9.7305816135084431</v>
      </c>
    </row>
    <row r="91" spans="2:12">
      <c r="B91" s="2">
        <f t="shared" si="24"/>
        <v>4869.6752516585939</v>
      </c>
      <c r="C91" s="1">
        <f t="shared" si="28"/>
        <v>87</v>
      </c>
      <c r="D91" s="1">
        <f t="shared" si="25"/>
        <v>715</v>
      </c>
      <c r="E91" s="1">
        <f t="shared" si="26"/>
        <v>2861</v>
      </c>
      <c r="F91" s="4">
        <f t="shared" si="18"/>
        <v>5.1338125661429046E-5</v>
      </c>
      <c r="G91" s="4">
        <f t="shared" si="19"/>
        <v>0.1468783775173485</v>
      </c>
      <c r="H91" s="5">
        <f t="shared" si="20"/>
        <v>6477</v>
      </c>
      <c r="I91" s="2">
        <f t="shared" si="21"/>
        <v>4869.9282075034744</v>
      </c>
      <c r="J91" s="8">
        <f t="shared" si="22"/>
        <v>5.1945115804974407E-5</v>
      </c>
      <c r="K91" s="1">
        <f t="shared" si="23"/>
        <v>2861.0000000000005</v>
      </c>
      <c r="L91" s="2">
        <f t="shared" si="27"/>
        <v>9.0555749737853883</v>
      </c>
    </row>
    <row r="92" spans="2:12">
      <c r="B92" s="2">
        <f t="shared" si="24"/>
        <v>5232.9911468149066</v>
      </c>
      <c r="C92" s="1">
        <f t="shared" si="28"/>
        <v>88</v>
      </c>
      <c r="D92" s="1">
        <f t="shared" si="25"/>
        <v>769</v>
      </c>
      <c r="E92" s="1">
        <f t="shared" si="26"/>
        <v>3077</v>
      </c>
      <c r="F92" s="4">
        <f t="shared" si="18"/>
        <v>4.7773824374261378E-5</v>
      </c>
      <c r="G92" s="4">
        <f t="shared" si="19"/>
        <v>0.14700005759960225</v>
      </c>
      <c r="H92" s="5">
        <f t="shared" si="20"/>
        <v>6482</v>
      </c>
      <c r="I92" s="2">
        <f t="shared" si="21"/>
        <v>5233.5583153347734</v>
      </c>
      <c r="J92" s="8">
        <f t="shared" si="22"/>
        <v>1.0838323703499242E-4</v>
      </c>
      <c r="K92" s="1">
        <f t="shared" si="23"/>
        <v>3077</v>
      </c>
      <c r="L92" s="2">
        <f t="shared" si="27"/>
        <v>8.4263893402664927</v>
      </c>
    </row>
    <row r="93" spans="2:12">
      <c r="B93" s="2">
        <f t="shared" si="24"/>
        <v>5623.4132519034474</v>
      </c>
      <c r="C93" s="1">
        <f t="shared" si="28"/>
        <v>89</v>
      </c>
      <c r="D93" s="1">
        <f t="shared" si="25"/>
        <v>826</v>
      </c>
      <c r="E93" s="1">
        <f t="shared" si="26"/>
        <v>3305</v>
      </c>
      <c r="F93" s="4">
        <f t="shared" si="18"/>
        <v>4.4456985250973413E-5</v>
      </c>
      <c r="G93" s="4">
        <f t="shared" si="19"/>
        <v>0.14693033625446714</v>
      </c>
      <c r="H93" s="5">
        <f t="shared" si="20"/>
        <v>6479</v>
      </c>
      <c r="I93" s="2">
        <f t="shared" si="21"/>
        <v>5623.9581725574935</v>
      </c>
      <c r="J93" s="8">
        <f t="shared" si="22"/>
        <v>9.6902117919572817E-5</v>
      </c>
      <c r="K93" s="1">
        <f t="shared" si="23"/>
        <v>3305</v>
      </c>
      <c r="L93" s="2">
        <f t="shared" si="27"/>
        <v>7.8414523449319216</v>
      </c>
    </row>
    <row r="94" spans="2:12">
      <c r="B94" s="2">
        <f t="shared" si="24"/>
        <v>6042.9639023812806</v>
      </c>
      <c r="C94" s="1">
        <f t="shared" si="28"/>
        <v>90</v>
      </c>
      <c r="D94" s="1">
        <f t="shared" si="25"/>
        <v>888</v>
      </c>
      <c r="E94" s="1">
        <f t="shared" si="26"/>
        <v>3553</v>
      </c>
      <c r="F94" s="4">
        <f t="shared" si="18"/>
        <v>4.1370427498579863E-5</v>
      </c>
      <c r="G94" s="4">
        <f t="shared" si="19"/>
        <v>0.14698912890245425</v>
      </c>
      <c r="H94" s="5">
        <f t="shared" si="20"/>
        <v>6482</v>
      </c>
      <c r="I94" s="2">
        <f t="shared" si="21"/>
        <v>6043.1695464362856</v>
      </c>
      <c r="J94" s="8">
        <f t="shared" si="22"/>
        <v>3.4030329872480891E-5</v>
      </c>
      <c r="K94" s="1">
        <f t="shared" si="23"/>
        <v>3553</v>
      </c>
      <c r="L94" s="2">
        <f t="shared" si="27"/>
        <v>7.2974950745848579</v>
      </c>
    </row>
    <row r="95" spans="2:12">
      <c r="B95" s="2">
        <f t="shared" si="24"/>
        <v>6493.8163157620611</v>
      </c>
      <c r="C95" s="1">
        <f t="shared" si="28"/>
        <v>91</v>
      </c>
      <c r="D95" s="1">
        <f t="shared" si="25"/>
        <v>954</v>
      </c>
      <c r="E95" s="1">
        <f t="shared" si="26"/>
        <v>3817</v>
      </c>
      <c r="F95" s="4">
        <f t="shared" si="18"/>
        <v>3.849816315148761E-5</v>
      </c>
      <c r="G95" s="4">
        <f t="shared" si="19"/>
        <v>0.14694748874922819</v>
      </c>
      <c r="H95" s="5">
        <f t="shared" si="20"/>
        <v>6480</v>
      </c>
      <c r="I95" s="2">
        <f t="shared" si="21"/>
        <v>6494.2013888888896</v>
      </c>
      <c r="J95" s="8">
        <f t="shared" si="22"/>
        <v>5.9298432247611998E-5</v>
      </c>
      <c r="K95" s="1">
        <f t="shared" si="23"/>
        <v>3817.0000000000005</v>
      </c>
      <c r="L95" s="2">
        <f t="shared" si="27"/>
        <v>6.7906733036416025</v>
      </c>
    </row>
    <row r="96" spans="2:12">
      <c r="B96" s="2">
        <f t="shared" si="24"/>
        <v>6978.3058485986066</v>
      </c>
      <c r="C96" s="1">
        <f t="shared" si="28"/>
        <v>92</v>
      </c>
      <c r="D96" s="1">
        <f t="shared" ref="D96:D99" si="29">INT((B96/1.7-1)/4)</f>
        <v>1025</v>
      </c>
      <c r="E96" s="1">
        <f t="shared" ref="E96:E99" si="30">4*D96+1</f>
        <v>4101</v>
      </c>
      <c r="F96" s="4">
        <f t="shared" ref="F96:F99" si="31">1/B96/4</f>
        <v>3.582531425592436E-5</v>
      </c>
      <c r="G96" s="4">
        <f t="shared" ref="G96:G99" si="32">E96*F96</f>
        <v>0.14691961376354579</v>
      </c>
      <c r="H96" s="5">
        <f t="shared" ref="H96:H99" si="33">INT(G96*_rate)</f>
        <v>6479</v>
      </c>
      <c r="I96" s="2">
        <f t="shared" ref="I96:I99" si="34">E96/H96/4*_rate</f>
        <v>6978.4727581416882</v>
      </c>
      <c r="J96" s="8">
        <f t="shared" ref="J96:J99" si="35">(I96/B96-1)</f>
        <v>2.3918347332951839E-5</v>
      </c>
      <c r="K96" s="1">
        <f t="shared" ref="K96:K99" si="36">4*I96*H96/_rate</f>
        <v>4101</v>
      </c>
      <c r="L96" s="2">
        <f t="shared" ref="L96:L99" si="37">4*H96/K96</f>
        <v>6.3194342843208977</v>
      </c>
    </row>
    <row r="97" spans="2:12">
      <c r="B97" s="2">
        <f t="shared" si="24"/>
        <v>7498.9420933244965</v>
      </c>
      <c r="C97" s="1">
        <f t="shared" si="28"/>
        <v>93</v>
      </c>
      <c r="D97" s="1">
        <f t="shared" si="29"/>
        <v>1102</v>
      </c>
      <c r="E97" s="1">
        <f t="shared" si="30"/>
        <v>4409</v>
      </c>
      <c r="F97" s="4">
        <f t="shared" si="31"/>
        <v>3.3338035804083377E-5</v>
      </c>
      <c r="G97" s="4">
        <f t="shared" si="32"/>
        <v>0.14698739986020362</v>
      </c>
      <c r="H97" s="5">
        <f t="shared" si="33"/>
        <v>6482</v>
      </c>
      <c r="I97" s="2">
        <f t="shared" si="34"/>
        <v>7499.109071274298</v>
      </c>
      <c r="J97" s="8">
        <f t="shared" si="35"/>
        <v>2.2266867475861929E-5</v>
      </c>
      <c r="K97" s="1">
        <f t="shared" si="36"/>
        <v>4409</v>
      </c>
      <c r="L97" s="2">
        <f t="shared" si="37"/>
        <v>5.880698571104559</v>
      </c>
    </row>
    <row r="98" spans="2:12">
      <c r="B98" s="2">
        <f t="shared" si="24"/>
        <v>8058.4218776147509</v>
      </c>
      <c r="C98" s="1">
        <f t="shared" si="28"/>
        <v>94</v>
      </c>
      <c r="D98" s="1">
        <f t="shared" si="29"/>
        <v>1184</v>
      </c>
      <c r="E98" s="1">
        <f t="shared" si="30"/>
        <v>4737</v>
      </c>
      <c r="F98" s="4">
        <f t="shared" si="31"/>
        <v>3.1023444018793248E-5</v>
      </c>
      <c r="G98" s="4">
        <f t="shared" si="32"/>
        <v>0.14695805431702361</v>
      </c>
      <c r="H98" s="5">
        <f t="shared" si="33"/>
        <v>6480</v>
      </c>
      <c r="I98" s="2">
        <f t="shared" si="34"/>
        <v>8059.479166666667</v>
      </c>
      <c r="J98" s="8">
        <f t="shared" si="35"/>
        <v>1.3120299085511711E-4</v>
      </c>
      <c r="K98" s="1">
        <f t="shared" si="36"/>
        <v>4737</v>
      </c>
      <c r="L98" s="2">
        <f t="shared" si="37"/>
        <v>5.4718176060797976</v>
      </c>
    </row>
    <row r="99" spans="2:12">
      <c r="B99" s="2">
        <f t="shared" si="24"/>
        <v>8659.6432336005801</v>
      </c>
      <c r="C99" s="1">
        <f t="shared" si="28"/>
        <v>95</v>
      </c>
      <c r="D99" s="1">
        <f t="shared" si="29"/>
        <v>1273</v>
      </c>
      <c r="E99" s="1">
        <f t="shared" si="30"/>
        <v>5093</v>
      </c>
      <c r="F99" s="4">
        <f t="shared" si="31"/>
        <v>2.8869549617236699E-5</v>
      </c>
      <c r="G99" s="4">
        <f t="shared" si="32"/>
        <v>0.1470326162005865</v>
      </c>
      <c r="H99" s="5">
        <f t="shared" si="33"/>
        <v>6484</v>
      </c>
      <c r="I99" s="2">
        <f t="shared" si="34"/>
        <v>8659.8280382479952</v>
      </c>
      <c r="J99" s="8">
        <f t="shared" si="35"/>
        <v>2.1340907752298577E-5</v>
      </c>
      <c r="K99" s="1">
        <f t="shared" si="36"/>
        <v>5093</v>
      </c>
      <c r="L99" s="2">
        <f t="shared" si="37"/>
        <v>5.0924798743373261</v>
      </c>
    </row>
    <row r="100" spans="2:12">
      <c r="B100" s="2">
        <f t="shared" si="24"/>
        <v>9305.7204092969096</v>
      </c>
      <c r="C100" s="1">
        <f t="shared" si="28"/>
        <v>96</v>
      </c>
      <c r="D100" s="1">
        <f t="shared" ref="D100:D101" si="38">INT((B100/1.7-1)/4)</f>
        <v>1368</v>
      </c>
      <c r="E100" s="1">
        <f t="shared" ref="E100:E101" si="39">4*D100+1</f>
        <v>5473</v>
      </c>
      <c r="F100" s="4">
        <f t="shared" ref="F100:F101" si="40">1/B100/4</f>
        <v>2.6865195708033168E-5</v>
      </c>
      <c r="G100" s="4">
        <f t="shared" ref="G100:G101" si="41">E100*F100</f>
        <v>0.14703321611006553</v>
      </c>
      <c r="H100" s="5">
        <f t="shared" ref="H100:H101" si="42">INT(G100*_rate)</f>
        <v>6484</v>
      </c>
      <c r="I100" s="2">
        <f t="shared" ref="I100:I101" si="43">E100/H100/4*_rate</f>
        <v>9305.9569710055512</v>
      </c>
      <c r="J100" s="8">
        <f t="shared" ref="J100:J101" si="44">(I100/B100-1)</f>
        <v>2.5421106398804127E-5</v>
      </c>
      <c r="K100" s="1">
        <f t="shared" ref="K100:K101" si="45">4*I100*H100/_rate</f>
        <v>5472.9999999999991</v>
      </c>
      <c r="L100" s="2">
        <f t="shared" ref="L100:L101" si="46">4*H100/K100</f>
        <v>4.738900054814545</v>
      </c>
    </row>
    <row r="101" spans="2:12">
      <c r="B101" s="2">
        <f t="shared" si="24"/>
        <v>9999.9999999999127</v>
      </c>
      <c r="C101" s="1">
        <f t="shared" si="28"/>
        <v>97</v>
      </c>
      <c r="D101" s="1">
        <f t="shared" si="38"/>
        <v>1470</v>
      </c>
      <c r="E101" s="1">
        <f t="shared" si="39"/>
        <v>5881</v>
      </c>
      <c r="F101" s="4">
        <f t="shared" si="40"/>
        <v>2.5000000000000218E-5</v>
      </c>
      <c r="G101" s="4">
        <f t="shared" si="41"/>
        <v>0.14702500000000129</v>
      </c>
      <c r="H101" s="5">
        <f t="shared" si="42"/>
        <v>6483</v>
      </c>
      <c r="I101" s="2">
        <f t="shared" si="43"/>
        <v>10001.237852845905</v>
      </c>
      <c r="J101" s="8">
        <f t="shared" si="44"/>
        <v>1.2378528459922045E-4</v>
      </c>
      <c r="K101" s="1">
        <f t="shared" si="45"/>
        <v>5881</v>
      </c>
      <c r="L101" s="2">
        <f t="shared" si="46"/>
        <v>4.4094541744601257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30956a45-04b2-40b1-8742-b28745651b5c}" enabled="0" method="" siteId="{30956a45-04b2-40b1-8742-b28745651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fourCells</vt:lpstr>
      <vt:lpstr>fourCellsChart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Williamsen, Mark</dc:creator>
  <cp:lastModifiedBy>Mark Williamsen</cp:lastModifiedBy>
  <dcterms:created xsi:type="dcterms:W3CDTF">2025-02-06T13:03:00Z</dcterms:created>
  <dcterms:modified xsi:type="dcterms:W3CDTF">2025-08-03T07:51:16Z</dcterms:modified>
</cp:coreProperties>
</file>