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500" yWindow="820" windowWidth="32640" windowHeight="18380" tabRatio="500"/>
  </bookViews>
  <sheets>
    <sheet name="Exp08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6" i="1" l="1"/>
  <c r="F36" i="1"/>
  <c r="G34" i="1"/>
  <c r="F34" i="1"/>
  <c r="G10" i="1"/>
  <c r="G8" i="1"/>
  <c r="F10" i="1"/>
  <c r="F8" i="1"/>
  <c r="I52" i="1"/>
  <c r="I53" i="1"/>
  <c r="I54" i="1"/>
  <c r="I55" i="1"/>
  <c r="I56" i="1"/>
  <c r="I57" i="1"/>
  <c r="I58" i="1"/>
  <c r="I59" i="1"/>
  <c r="I60" i="1"/>
  <c r="I51" i="1"/>
  <c r="F60" i="1"/>
  <c r="F59" i="1"/>
  <c r="F58" i="1"/>
  <c r="F57" i="1"/>
  <c r="F56" i="1"/>
  <c r="F55" i="1"/>
  <c r="F54" i="1"/>
  <c r="F53" i="1"/>
  <c r="F52" i="1"/>
  <c r="F51" i="1"/>
  <c r="C52" i="1"/>
  <c r="C53" i="1"/>
  <c r="C54" i="1"/>
  <c r="C55" i="1"/>
  <c r="C56" i="1"/>
  <c r="C57" i="1"/>
  <c r="C58" i="1"/>
  <c r="C59" i="1"/>
  <c r="C60" i="1"/>
  <c r="C51" i="1"/>
</calcChain>
</file>

<file path=xl/sharedStrings.xml><?xml version="1.0" encoding="utf-8"?>
<sst xmlns="http://schemas.openxmlformats.org/spreadsheetml/2006/main" count="72" uniqueCount="38">
  <si>
    <t>{</t>
  </si>
  <si>
    <t>}</t>
  </si>
  <si>
    <t>Loading</t>
  </si>
  <si>
    <t>setup</t>
  </si>
  <si>
    <t>file</t>
  </si>
  <si>
    <t>'d.json'</t>
  </si>
  <si>
    <t>Reading</t>
  </si>
  <si>
    <t>wave</t>
  </si>
  <si>
    <t>'d.wav'</t>
  </si>
  <si>
    <t>Wave</t>
  </si>
  <si>
    <t>parameters:</t>
  </si>
  <si>
    <t>nchannels:</t>
  </si>
  <si>
    <t>2,</t>
  </si>
  <si>
    <t>sampwidth:</t>
  </si>
  <si>
    <t>3,</t>
  </si>
  <si>
    <t>framerate:</t>
  </si>
  <si>
    <t>44100,</t>
  </si>
  <si>
    <t>nframes:</t>
  </si>
  <si>
    <t>2336555,</t>
  </si>
  <si>
    <t>comptype:</t>
  </si>
  <si>
    <t>NONE,</t>
  </si>
  <si>
    <t>compname:</t>
  </si>
  <si>
    <t>not compressed</t>
  </si>
  <si>
    <t>Expected</t>
  </si>
  <si>
    <t>frames,</t>
  </si>
  <si>
    <t>found</t>
  </si>
  <si>
    <t>Writing</t>
  </si>
  <si>
    <t>'e.json'</t>
  </si>
  <si>
    <t>'f.json'</t>
  </si>
  <si>
    <t>'f.wav'</t>
  </si>
  <si>
    <t>2527539,</t>
  </si>
  <si>
    <t>'g.json'</t>
  </si>
  <si>
    <t>Swapped left and right on Gertsch DecaTran</t>
  </si>
  <si>
    <t>reverse</t>
  </si>
  <si>
    <t>forward</t>
  </si>
  <si>
    <t>product</t>
  </si>
  <si>
    <t>average</t>
  </si>
  <si>
    <t>stddev.s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</si>
</sst>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'Exp08'!$F$13:$F$22</c:f>
              <c:numCache>
                <c:formatCode>0.0000000000</c:formatCode>
                <c:ptCount val="10"/>
                <c:pt idx="0">
                  <c:v>1.00001028007762</c:v>
                </c:pt>
                <c:pt idx="1">
                  <c:v>1.00001323075967</c:v>
                </c:pt>
                <c:pt idx="2">
                  <c:v>1.00001009066923</c:v>
                </c:pt>
                <c:pt idx="3">
                  <c:v>1.00000197288438</c:v>
                </c:pt>
                <c:pt idx="4">
                  <c:v>1.00000462506878</c:v>
                </c:pt>
                <c:pt idx="5">
                  <c:v>1.00000813650969</c:v>
                </c:pt>
                <c:pt idx="6">
                  <c:v>1.00000806129185</c:v>
                </c:pt>
                <c:pt idx="7">
                  <c:v>1.00000398791822</c:v>
                </c:pt>
                <c:pt idx="8">
                  <c:v>1.00000747483709</c:v>
                </c:pt>
                <c:pt idx="9">
                  <c:v>1.00000337413626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47360232"/>
        <c:axId val="2136001640"/>
      </c:lineChart>
      <c:lineChart>
        <c:grouping val="standard"/>
        <c:varyColors val="0"/>
        <c:ser>
          <c:idx val="1"/>
          <c:order val="1"/>
          <c:val>
            <c:numRef>
              <c:f>'Exp08'!$G$13:$G$22</c:f>
              <c:numCache>
                <c:formatCode>0.0000000000</c:formatCode>
                <c:ptCount val="10"/>
                <c:pt idx="0">
                  <c:v>-3.14178017592148E-6</c:v>
                </c:pt>
                <c:pt idx="1">
                  <c:v>-2.49430845740275E-6</c:v>
                </c:pt>
                <c:pt idx="2">
                  <c:v>-2.41177658890943E-6</c:v>
                </c:pt>
                <c:pt idx="3">
                  <c:v>-3.74780207385469E-6</c:v>
                </c:pt>
                <c:pt idx="4">
                  <c:v>-3.62037632269217E-6</c:v>
                </c:pt>
                <c:pt idx="5">
                  <c:v>-2.13558344454316E-6</c:v>
                </c:pt>
                <c:pt idx="6">
                  <c:v>-4.99310447334337E-6</c:v>
                </c:pt>
                <c:pt idx="7">
                  <c:v>-3.42922510173751E-6</c:v>
                </c:pt>
                <c:pt idx="8">
                  <c:v>-2.21977136201714E-6</c:v>
                </c:pt>
                <c:pt idx="9">
                  <c:v>-2.95408792732098E-6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005432"/>
        <c:axId val="2136011656"/>
      </c:lineChart>
      <c:catAx>
        <c:axId val="-2147360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136001640"/>
        <c:crosses val="autoZero"/>
        <c:auto val="1"/>
        <c:lblAlgn val="ctr"/>
        <c:lblOffset val="100"/>
        <c:noMultiLvlLbl val="0"/>
      </c:catAx>
      <c:valAx>
        <c:axId val="2136001640"/>
        <c:scaling>
          <c:orientation val="minMax"/>
          <c:max val="1.00002"/>
          <c:min val="0.99999"/>
        </c:scaling>
        <c:delete val="0"/>
        <c:axPos val="l"/>
        <c:majorGridlines/>
        <c:numFmt formatCode="0.000000" sourceLinked="0"/>
        <c:majorTickMark val="out"/>
        <c:minorTickMark val="none"/>
        <c:tickLblPos val="nextTo"/>
        <c:crossAx val="-2147360232"/>
        <c:crosses val="autoZero"/>
        <c:crossBetween val="between"/>
        <c:majorUnit val="5.0E-6"/>
      </c:valAx>
      <c:valAx>
        <c:axId val="2136011656"/>
        <c:scaling>
          <c:orientation val="minMax"/>
        </c:scaling>
        <c:delete val="0"/>
        <c:axPos val="r"/>
        <c:numFmt formatCode="0.000000" sourceLinked="0"/>
        <c:majorTickMark val="out"/>
        <c:minorTickMark val="none"/>
        <c:tickLblPos val="nextTo"/>
        <c:crossAx val="2136005432"/>
        <c:crosses val="max"/>
        <c:crossBetween val="between"/>
      </c:valAx>
      <c:catAx>
        <c:axId val="2136005432"/>
        <c:scaling>
          <c:orientation val="minMax"/>
        </c:scaling>
        <c:delete val="1"/>
        <c:axPos val="b"/>
        <c:majorTickMark val="out"/>
        <c:minorTickMark val="none"/>
        <c:tickLblPos val="nextTo"/>
        <c:crossAx val="213601165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'Exp08'!$F$39:$F$48</c:f>
              <c:numCache>
                <c:formatCode>0.0000000000</c:formatCode>
                <c:ptCount val="10"/>
                <c:pt idx="0">
                  <c:v>1.00000945836763</c:v>
                </c:pt>
                <c:pt idx="1">
                  <c:v>1.00000849271148</c:v>
                </c:pt>
                <c:pt idx="2">
                  <c:v>0.999998909388281</c:v>
                </c:pt>
                <c:pt idx="3">
                  <c:v>1.00001461134057</c:v>
                </c:pt>
                <c:pt idx="4">
                  <c:v>1.00001127794732</c:v>
                </c:pt>
                <c:pt idx="5">
                  <c:v>1.00000264114706</c:v>
                </c:pt>
                <c:pt idx="6">
                  <c:v>1.0000013998895</c:v>
                </c:pt>
                <c:pt idx="7">
                  <c:v>1.000000645246</c:v>
                </c:pt>
                <c:pt idx="8">
                  <c:v>1.00000369383651</c:v>
                </c:pt>
                <c:pt idx="9">
                  <c:v>1.00000093754686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450040"/>
        <c:axId val="2120460968"/>
      </c:lineChart>
      <c:lineChart>
        <c:grouping val="standard"/>
        <c:varyColors val="0"/>
        <c:ser>
          <c:idx val="1"/>
          <c:order val="1"/>
          <c:val>
            <c:numRef>
              <c:f>'Exp08'!$G$39:$G$48</c:f>
              <c:numCache>
                <c:formatCode>0.0000000000</c:formatCode>
                <c:ptCount val="10"/>
                <c:pt idx="0">
                  <c:v>-1.29845919445141E-6</c:v>
                </c:pt>
                <c:pt idx="1">
                  <c:v>9.18135191604314E-7</c:v>
                </c:pt>
                <c:pt idx="2">
                  <c:v>-1.05557662689409E-6</c:v>
                </c:pt>
                <c:pt idx="3">
                  <c:v>-1.93764021220428E-6</c:v>
                </c:pt>
                <c:pt idx="4">
                  <c:v>2.34535514368604E-7</c:v>
                </c:pt>
                <c:pt idx="5">
                  <c:v>-8.81468488094103E-7</c:v>
                </c:pt>
                <c:pt idx="6">
                  <c:v>-5.97792179253309E-6</c:v>
                </c:pt>
                <c:pt idx="7">
                  <c:v>-3.77772975428432E-6</c:v>
                </c:pt>
                <c:pt idx="8">
                  <c:v>-6.20326790407231E-6</c:v>
                </c:pt>
                <c:pt idx="9">
                  <c:v>-6.10299856712462E-6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435256"/>
        <c:axId val="2120432024"/>
      </c:lineChart>
      <c:catAx>
        <c:axId val="2120450040"/>
        <c:scaling>
          <c:orientation val="minMax"/>
        </c:scaling>
        <c:delete val="0"/>
        <c:axPos val="b"/>
        <c:majorTickMark val="out"/>
        <c:minorTickMark val="none"/>
        <c:tickLblPos val="nextTo"/>
        <c:crossAx val="2120460968"/>
        <c:crosses val="autoZero"/>
        <c:auto val="1"/>
        <c:lblAlgn val="ctr"/>
        <c:lblOffset val="100"/>
        <c:noMultiLvlLbl val="0"/>
      </c:catAx>
      <c:valAx>
        <c:axId val="2120460968"/>
        <c:scaling>
          <c:orientation val="minMax"/>
        </c:scaling>
        <c:delete val="0"/>
        <c:axPos val="l"/>
        <c:majorGridlines/>
        <c:numFmt formatCode="0.000000" sourceLinked="0"/>
        <c:majorTickMark val="out"/>
        <c:minorTickMark val="none"/>
        <c:tickLblPos val="nextTo"/>
        <c:crossAx val="2120450040"/>
        <c:crosses val="autoZero"/>
        <c:crossBetween val="between"/>
      </c:valAx>
      <c:valAx>
        <c:axId val="2120432024"/>
        <c:scaling>
          <c:orientation val="minMax"/>
        </c:scaling>
        <c:delete val="0"/>
        <c:axPos val="r"/>
        <c:numFmt formatCode="0.000000" sourceLinked="0"/>
        <c:majorTickMark val="out"/>
        <c:minorTickMark val="none"/>
        <c:tickLblPos val="nextTo"/>
        <c:crossAx val="2120435256"/>
        <c:crosses val="max"/>
        <c:crossBetween val="between"/>
      </c:valAx>
      <c:catAx>
        <c:axId val="2120435256"/>
        <c:scaling>
          <c:orientation val="minMax"/>
        </c:scaling>
        <c:delete val="1"/>
        <c:axPos val="b"/>
        <c:majorTickMark val="out"/>
        <c:minorTickMark val="none"/>
        <c:tickLblPos val="nextTo"/>
        <c:crossAx val="212043202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447040</xdr:colOff>
      <xdr:row>9</xdr:row>
      <xdr:rowOff>81280</xdr:rowOff>
    </xdr:from>
    <xdr:to>
      <xdr:col>11</xdr:col>
      <xdr:colOff>162560</xdr:colOff>
      <xdr:row>23</xdr:row>
      <xdr:rowOff>121920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416560</xdr:colOff>
      <xdr:row>28</xdr:row>
      <xdr:rowOff>152400</xdr:rowOff>
    </xdr:from>
    <xdr:to>
      <xdr:col>11</xdr:col>
      <xdr:colOff>132080</xdr:colOff>
      <xdr:row>43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topLeftCell="A11" zoomScale="125" zoomScaleNormal="125" zoomScalePageLayoutView="125" workbookViewId="0">
      <selection activeCell="G36" sqref="G36"/>
    </sheetView>
  </sheetViews>
  <sheetFormatPr baseColWidth="10" defaultColWidth="15.83203125" defaultRowHeight="15" x14ac:dyDescent="0"/>
  <cols>
    <col min="1" max="1" width="17" style="1" bestFit="1" customWidth="1"/>
    <col min="2" max="2" width="19" style="1" bestFit="1" customWidth="1"/>
    <col min="3" max="5" width="19.5" style="1" bestFit="1" customWidth="1"/>
    <col min="6" max="7" width="19.6640625" style="1" customWidth="1"/>
    <col min="8" max="9" width="16" style="1" bestFit="1" customWidth="1"/>
    <col min="10" max="16384" width="15.83203125" style="1"/>
  </cols>
  <sheetData>
    <row r="1" spans="1:7">
      <c r="A1" s="1" t="s">
        <v>2</v>
      </c>
      <c r="B1" s="1" t="s">
        <v>3</v>
      </c>
      <c r="C1" s="1" t="s">
        <v>4</v>
      </c>
      <c r="D1" s="1" t="s">
        <v>5</v>
      </c>
    </row>
    <row r="2" spans="1:7">
      <c r="A2" s="1" t="s">
        <v>6</v>
      </c>
      <c r="B2" s="1" t="s">
        <v>7</v>
      </c>
      <c r="C2" s="1" t="s">
        <v>4</v>
      </c>
      <c r="D2" s="1" t="s">
        <v>8</v>
      </c>
    </row>
    <row r="3" spans="1:7">
      <c r="A3" s="1" t="s">
        <v>9</v>
      </c>
      <c r="B3" s="1" t="s">
        <v>4</v>
      </c>
      <c r="C3" s="1" t="s">
        <v>10</v>
      </c>
    </row>
    <row r="4" spans="1:7">
      <c r="A4" s="1" t="s">
        <v>0</v>
      </c>
    </row>
    <row r="5" spans="1:7">
      <c r="B5" s="1" t="s">
        <v>11</v>
      </c>
      <c r="C5" s="1" t="s">
        <v>12</v>
      </c>
    </row>
    <row r="6" spans="1:7">
      <c r="B6" s="1" t="s">
        <v>13</v>
      </c>
      <c r="C6" s="1" t="s">
        <v>14</v>
      </c>
    </row>
    <row r="7" spans="1:7">
      <c r="B7" s="1" t="s">
        <v>15</v>
      </c>
      <c r="C7" s="1" t="s">
        <v>16</v>
      </c>
      <c r="F7" s="1" t="s">
        <v>36</v>
      </c>
    </row>
    <row r="8" spans="1:7">
      <c r="B8" s="1" t="s">
        <v>17</v>
      </c>
      <c r="C8" s="1" t="s">
        <v>18</v>
      </c>
      <c r="F8" s="1">
        <f>AVERAGE(F13:F22)</f>
        <v>1.0000071234152792</v>
      </c>
      <c r="G8" s="1">
        <f>AVERAGE(G13:G22)</f>
        <v>-3.1147815927742681E-6</v>
      </c>
    </row>
    <row r="9" spans="1:7">
      <c r="B9" s="1" t="s">
        <v>19</v>
      </c>
      <c r="C9" s="1" t="s">
        <v>20</v>
      </c>
      <c r="F9" s="1" t="s">
        <v>37</v>
      </c>
    </row>
    <row r="10" spans="1:7">
      <c r="B10" s="1" t="s">
        <v>21</v>
      </c>
      <c r="C10" s="1" t="s">
        <v>22</v>
      </c>
      <c r="F10" s="1">
        <f>_xlfn.STDEV.S(F13:F22)</f>
        <v>3.5708134372463736E-6</v>
      </c>
      <c r="G10" s="1">
        <f>_xlfn.STDEV.S(G13:G22)</f>
        <v>8.7869468694771355E-7</v>
      </c>
    </row>
    <row r="11" spans="1:7">
      <c r="A11" s="1" t="s">
        <v>1</v>
      </c>
    </row>
    <row r="12" spans="1:7">
      <c r="A12" s="1" t="s">
        <v>23</v>
      </c>
      <c r="B12" s="1">
        <v>2133220</v>
      </c>
      <c r="C12" s="1" t="s">
        <v>24</v>
      </c>
      <c r="D12" s="1" t="s">
        <v>25</v>
      </c>
      <c r="E12" s="1">
        <v>2336555</v>
      </c>
    </row>
    <row r="13" spans="1:7">
      <c r="A13" s="1">
        <v>159.16252700000001</v>
      </c>
      <c r="B13" s="1">
        <v>1632030.05730141</v>
      </c>
      <c r="C13" s="1">
        <v>643275.67589554598</v>
      </c>
      <c r="D13" s="1">
        <v>1632048.85572785</v>
      </c>
      <c r="E13" s="1">
        <v>643277.16133974702</v>
      </c>
      <c r="F13" s="1">
        <v>1.0000102800776201</v>
      </c>
      <c r="G13" s="1">
        <v>-3.1417801759214799E-6</v>
      </c>
    </row>
    <row r="14" spans="1:7">
      <c r="A14" s="1">
        <v>159.16252700000001</v>
      </c>
      <c r="B14" s="1">
        <v>1632045.2612757699</v>
      </c>
      <c r="C14" s="1">
        <v>643284.71710774105</v>
      </c>
      <c r="D14" s="1">
        <v>1632068.4590249099</v>
      </c>
      <c r="E14" s="1">
        <v>643289.15742893796</v>
      </c>
      <c r="F14" s="1">
        <v>1.0000132307596701</v>
      </c>
      <c r="G14" s="1">
        <v>-2.4943084574027498E-6</v>
      </c>
    </row>
    <row r="15" spans="1:7">
      <c r="A15" s="1">
        <v>159.16252700000001</v>
      </c>
      <c r="B15" s="1">
        <v>1632044.2842844001</v>
      </c>
      <c r="C15" s="1">
        <v>643288.69807163405</v>
      </c>
      <c r="D15" s="1">
        <v>1632062.30417207</v>
      </c>
      <c r="E15" s="1">
        <v>643291.25315891101</v>
      </c>
      <c r="F15" s="1">
        <v>1.00001009066923</v>
      </c>
      <c r="G15" s="1">
        <v>-2.4117765889094302E-6</v>
      </c>
    </row>
    <row r="16" spans="1:7">
      <c r="A16" s="1">
        <v>159.16252700000001</v>
      </c>
      <c r="B16" s="1">
        <v>1632043.2938087799</v>
      </c>
      <c r="C16" s="1">
        <v>643292.74891737604</v>
      </c>
      <c r="D16" s="1">
        <v>1632048.9245754001</v>
      </c>
      <c r="E16" s="1">
        <v>643287.90148435195</v>
      </c>
      <c r="F16" s="1">
        <v>1.0000019728843801</v>
      </c>
      <c r="G16" s="1">
        <v>-3.7478020738546898E-6</v>
      </c>
    </row>
    <row r="17" spans="1:7">
      <c r="A17" s="1">
        <v>159.16252700000001</v>
      </c>
      <c r="B17" s="1">
        <v>1632042.77147058</v>
      </c>
      <c r="C17" s="1">
        <v>643293.20500014303</v>
      </c>
      <c r="D17" s="1">
        <v>1632052.6487441401</v>
      </c>
      <c r="E17" s="1">
        <v>643290.27166645799</v>
      </c>
      <c r="F17" s="1">
        <v>1.00000462506878</v>
      </c>
      <c r="G17" s="1">
        <v>-3.6203763226921699E-6</v>
      </c>
    </row>
    <row r="18" spans="1:7">
      <c r="A18" s="1">
        <v>159.16252700000001</v>
      </c>
      <c r="B18" s="1">
        <v>1632037.2945388099</v>
      </c>
      <c r="C18" s="1">
        <v>643290.58538667497</v>
      </c>
      <c r="D18" s="1">
        <v>1632051.9474268099</v>
      </c>
      <c r="E18" s="1">
        <v>643292.33417493501</v>
      </c>
      <c r="F18" s="1">
        <v>1.00000813650969</v>
      </c>
      <c r="G18" s="1">
        <v>-2.1355834445431599E-6</v>
      </c>
    </row>
    <row r="19" spans="1:7">
      <c r="A19" s="1">
        <v>159.16252700000001</v>
      </c>
      <c r="B19" s="1">
        <v>1632043.3078954399</v>
      </c>
      <c r="C19" s="1">
        <v>643296.04751921003</v>
      </c>
      <c r="D19" s="1">
        <v>1632059.6763172401</v>
      </c>
      <c r="E19" s="1">
        <v>643293.08435365802</v>
      </c>
      <c r="F19" s="1">
        <v>1.00000806129185</v>
      </c>
      <c r="G19" s="1">
        <v>-4.9931044733433703E-6</v>
      </c>
    </row>
    <row r="20" spans="1:7">
      <c r="A20" s="1">
        <v>159.16252700000001</v>
      </c>
      <c r="B20" s="1">
        <v>1632050.13417203</v>
      </c>
      <c r="C20" s="1">
        <v>643295.65351446997</v>
      </c>
      <c r="D20" s="1">
        <v>1632058.84866012</v>
      </c>
      <c r="E20" s="1">
        <v>643292.62225764606</v>
      </c>
      <c r="F20" s="1">
        <v>1.0000039879182201</v>
      </c>
      <c r="G20" s="1">
        <v>-3.4292251017375099E-6</v>
      </c>
    </row>
    <row r="21" spans="1:7">
      <c r="A21" s="1">
        <v>159.16252700000001</v>
      </c>
      <c r="B21" s="1">
        <v>1632049.4939433299</v>
      </c>
      <c r="C21" s="1">
        <v>643291.89734978694</v>
      </c>
      <c r="D21" s="1">
        <v>1632063.12120836</v>
      </c>
      <c r="E21" s="1">
        <v>643293.08307519497</v>
      </c>
      <c r="F21" s="1">
        <v>1.00000747483709</v>
      </c>
      <c r="G21" s="1">
        <v>-2.2197713620171401E-6</v>
      </c>
    </row>
    <row r="22" spans="1:7">
      <c r="A22" s="1">
        <v>159.16252700000001</v>
      </c>
      <c r="B22" s="1">
        <v>1632050.9697143601</v>
      </c>
      <c r="C22" s="1">
        <v>643297.49176176498</v>
      </c>
      <c r="D22" s="1">
        <v>1632058.3768340801</v>
      </c>
      <c r="E22" s="1">
        <v>643294.84111309506</v>
      </c>
      <c r="F22" s="1">
        <v>1.0000033741362599</v>
      </c>
      <c r="G22" s="1">
        <v>-2.9540879273209799E-6</v>
      </c>
    </row>
    <row r="23" spans="1:7">
      <c r="A23" s="1" t="s">
        <v>26</v>
      </c>
      <c r="B23" s="1" t="s">
        <v>3</v>
      </c>
      <c r="C23" s="1" t="s">
        <v>4</v>
      </c>
      <c r="D23" s="1" t="s">
        <v>27</v>
      </c>
    </row>
    <row r="26" spans="1:7">
      <c r="A26" s="1" t="s">
        <v>32</v>
      </c>
    </row>
    <row r="27" spans="1:7">
      <c r="A27" s="1" t="s">
        <v>2</v>
      </c>
      <c r="B27" s="1" t="s">
        <v>3</v>
      </c>
      <c r="C27" s="1" t="s">
        <v>4</v>
      </c>
      <c r="D27" s="1" t="s">
        <v>28</v>
      </c>
    </row>
    <row r="28" spans="1:7">
      <c r="A28" s="1" t="s">
        <v>6</v>
      </c>
      <c r="B28" s="1" t="s">
        <v>7</v>
      </c>
      <c r="C28" s="1" t="s">
        <v>4</v>
      </c>
      <c r="D28" s="1" t="s">
        <v>29</v>
      </c>
    </row>
    <row r="29" spans="1:7">
      <c r="A29" s="1" t="s">
        <v>9</v>
      </c>
      <c r="B29" s="1" t="s">
        <v>4</v>
      </c>
      <c r="C29" s="1" t="s">
        <v>10</v>
      </c>
    </row>
    <row r="30" spans="1:7">
      <c r="A30" s="1" t="s">
        <v>0</v>
      </c>
    </row>
    <row r="31" spans="1:7">
      <c r="B31" s="1" t="s">
        <v>11</v>
      </c>
      <c r="C31" s="1" t="s">
        <v>12</v>
      </c>
    </row>
    <row r="32" spans="1:7">
      <c r="B32" s="1" t="s">
        <v>13</v>
      </c>
      <c r="C32" s="1" t="s">
        <v>14</v>
      </c>
    </row>
    <row r="33" spans="1:7">
      <c r="B33" s="1" t="s">
        <v>15</v>
      </c>
      <c r="C33" s="1" t="s">
        <v>16</v>
      </c>
      <c r="F33" s="1" t="s">
        <v>36</v>
      </c>
    </row>
    <row r="34" spans="1:7">
      <c r="B34" s="1" t="s">
        <v>17</v>
      </c>
      <c r="C34" s="1" t="s">
        <v>30</v>
      </c>
      <c r="F34" s="1">
        <f>AVERAGE(F39:F48)</f>
        <v>1.0000052067421212</v>
      </c>
      <c r="G34" s="1">
        <f>AVERAGE(G39:G48)</f>
        <v>-2.6082391833685307E-6</v>
      </c>
    </row>
    <row r="35" spans="1:7">
      <c r="B35" s="1" t="s">
        <v>19</v>
      </c>
      <c r="C35" s="1" t="s">
        <v>20</v>
      </c>
      <c r="F35" s="1" t="s">
        <v>37</v>
      </c>
    </row>
    <row r="36" spans="1:7">
      <c r="B36" s="1" t="s">
        <v>21</v>
      </c>
      <c r="C36" s="1" t="s">
        <v>22</v>
      </c>
      <c r="F36" s="1">
        <f>_xlfn.STDEV.S(F39:F48)</f>
        <v>5.335761398962324E-6</v>
      </c>
      <c r="G36" s="1">
        <f>_xlfn.STDEV.S(G39:G48)</f>
        <v>2.7066677462517026E-6</v>
      </c>
    </row>
    <row r="37" spans="1:7">
      <c r="A37" s="1" t="s">
        <v>1</v>
      </c>
    </row>
    <row r="38" spans="1:7">
      <c r="A38" s="1" t="s">
        <v>23</v>
      </c>
      <c r="B38" s="1">
        <v>2133220</v>
      </c>
      <c r="C38" s="1" t="s">
        <v>24</v>
      </c>
      <c r="D38" s="1" t="s">
        <v>25</v>
      </c>
      <c r="E38" s="1">
        <v>2527539</v>
      </c>
    </row>
    <row r="39" spans="1:7">
      <c r="A39" s="1">
        <v>159.16252700000001</v>
      </c>
      <c r="B39" s="1">
        <v>1616784.3734168001</v>
      </c>
      <c r="C39" s="1">
        <v>680039.002379696</v>
      </c>
      <c r="D39" s="1">
        <v>1616800.5485606899</v>
      </c>
      <c r="E39" s="1">
        <v>680043.33511005004</v>
      </c>
      <c r="F39" s="1">
        <v>1.00000945836763</v>
      </c>
      <c r="G39" s="1">
        <v>-1.29845919445141E-6</v>
      </c>
    </row>
    <row r="40" spans="1:7">
      <c r="A40" s="1">
        <v>159.16252700000001</v>
      </c>
      <c r="B40" s="1">
        <v>1616799.2061651</v>
      </c>
      <c r="C40" s="1">
        <v>680041.99446944799</v>
      </c>
      <c r="D40" s="1">
        <v>1616812.31280379</v>
      </c>
      <c r="E40" s="1">
        <v>680049.25431015098</v>
      </c>
      <c r="F40" s="1">
        <v>1.0000084927114801</v>
      </c>
      <c r="G40" s="1">
        <v>9.1813519160431398E-7</v>
      </c>
    </row>
    <row r="41" spans="1:7">
      <c r="A41" s="1">
        <v>159.16252700000001</v>
      </c>
      <c r="B41" s="1">
        <v>1616836.8408186701</v>
      </c>
      <c r="C41" s="1">
        <v>680056.26621157501</v>
      </c>
      <c r="D41" s="1">
        <v>1616835.7953289601</v>
      </c>
      <c r="E41" s="1">
        <v>680053.81783906301</v>
      </c>
      <c r="F41" s="1">
        <v>0.99999890938828095</v>
      </c>
      <c r="G41" s="1">
        <v>-1.0555766268940901E-6</v>
      </c>
    </row>
    <row r="42" spans="1:7">
      <c r="A42" s="1">
        <v>159.16252700000001</v>
      </c>
      <c r="B42" s="1">
        <v>1616828.32306567</v>
      </c>
      <c r="C42" s="1">
        <v>680052.14517047897</v>
      </c>
      <c r="D42" s="1">
        <v>1616853.2647913301</v>
      </c>
      <c r="E42" s="1">
        <v>680058.94881240197</v>
      </c>
      <c r="F42" s="1">
        <v>1.0000146113405699</v>
      </c>
      <c r="G42" s="1">
        <v>-1.9376402122042798E-6</v>
      </c>
    </row>
    <row r="43" spans="1:7">
      <c r="A43" s="1">
        <v>159.16252700000001</v>
      </c>
      <c r="B43" s="1">
        <v>1616850.0793659</v>
      </c>
      <c r="C43" s="1">
        <v>680058.79241883894</v>
      </c>
      <c r="D43" s="1">
        <v>1616868.1546179799</v>
      </c>
      <c r="E43" s="1">
        <v>680066.84129484196</v>
      </c>
      <c r="F43" s="1">
        <v>1.00001127794732</v>
      </c>
      <c r="G43" s="1">
        <v>2.34535514368604E-7</v>
      </c>
    </row>
    <row r="44" spans="1:7">
      <c r="A44" s="1">
        <v>159.16252700000001</v>
      </c>
      <c r="B44" s="1">
        <v>1616836.45428086</v>
      </c>
      <c r="C44" s="1">
        <v>680049.02025238203</v>
      </c>
      <c r="D44" s="1">
        <v>1616841.3240255001</v>
      </c>
      <c r="E44" s="1">
        <v>680049.39117147098</v>
      </c>
      <c r="F44" s="1">
        <v>1.0000026411470599</v>
      </c>
      <c r="G44" s="1">
        <v>-8.8146848809410302E-7</v>
      </c>
    </row>
    <row r="45" spans="1:7">
      <c r="A45" s="1">
        <v>159.16252700000001</v>
      </c>
      <c r="B45" s="1">
        <v>1616837.77897293</v>
      </c>
      <c r="C45" s="1">
        <v>680056.80811830296</v>
      </c>
      <c r="D45" s="1">
        <v>1616844.10769359</v>
      </c>
      <c r="E45" s="1">
        <v>680048.09479290002</v>
      </c>
      <c r="F45" s="1">
        <v>1.0000013998895001</v>
      </c>
      <c r="G45" s="1">
        <v>-5.9779217925330898E-6</v>
      </c>
    </row>
    <row r="46" spans="1:7">
      <c r="A46" s="1">
        <v>159.16252700000001</v>
      </c>
      <c r="B46" s="1">
        <v>1616841.32507473</v>
      </c>
      <c r="C46" s="1">
        <v>680054.24249907897</v>
      </c>
      <c r="D46" s="1">
        <v>1616844.93739628</v>
      </c>
      <c r="E46" s="1">
        <v>680048.57331177802</v>
      </c>
      <c r="F46" s="1">
        <v>1.000000645246</v>
      </c>
      <c r="G46" s="1">
        <v>-3.7777297542843202E-6</v>
      </c>
    </row>
    <row r="47" spans="1:7">
      <c r="A47" s="1">
        <v>159.16252700000001</v>
      </c>
      <c r="B47" s="1">
        <v>1616835.48145292</v>
      </c>
      <c r="C47" s="1">
        <v>680054.01232426497</v>
      </c>
      <c r="D47" s="1">
        <v>1616845.6723360801</v>
      </c>
      <c r="E47" s="1">
        <v>680046.49466895906</v>
      </c>
      <c r="F47" s="1">
        <v>1.00000369383651</v>
      </c>
      <c r="G47" s="1">
        <v>-6.2032679040723104E-6</v>
      </c>
    </row>
    <row r="48" spans="1:7">
      <c r="A48" s="1">
        <v>159.16252700000001</v>
      </c>
      <c r="B48" s="1">
        <v>1616840.9233914299</v>
      </c>
      <c r="C48" s="1">
        <v>680054.99479812395</v>
      </c>
      <c r="D48" s="1">
        <v>1616846.5896302301</v>
      </c>
      <c r="E48" s="1">
        <v>680045.76480371598</v>
      </c>
      <c r="F48" s="1">
        <v>1.0000009375468599</v>
      </c>
      <c r="G48" s="1">
        <v>-6.10299856712462E-6</v>
      </c>
    </row>
    <row r="49" spans="1:9">
      <c r="A49" s="1" t="s">
        <v>26</v>
      </c>
      <c r="B49" s="1" t="s">
        <v>3</v>
      </c>
      <c r="C49" s="1" t="s">
        <v>4</v>
      </c>
      <c r="D49" s="1" t="s">
        <v>31</v>
      </c>
    </row>
    <row r="51" spans="1:9">
      <c r="B51" s="1" t="s">
        <v>34</v>
      </c>
      <c r="C51" s="1" t="str">
        <f>COMPLEX(F13,G13)</f>
        <v>1.00001028007762-3.14178017592148E-06i</v>
      </c>
      <c r="E51" s="1" t="s">
        <v>33</v>
      </c>
      <c r="F51" s="1" t="str">
        <f>COMPLEX(F39,G39)</f>
        <v>1.00000945836763-1.29845919445141E-06i</v>
      </c>
      <c r="H51" s="1" t="s">
        <v>35</v>
      </c>
      <c r="I51" s="1" t="str">
        <f>IMPRODUCT(C51,F51)</f>
        <v>1.0000197385384-4.44028243474611E-06i</v>
      </c>
    </row>
    <row r="52" spans="1:9">
      <c r="C52" s="1" t="str">
        <f>COMPLEX(F14,G14)</f>
        <v>1.00001323075967-2.49430845740275E-06i</v>
      </c>
      <c r="F52" s="1" t="str">
        <f t="shared" ref="F52:F60" si="0">COMPLEX(F40,G40)</f>
        <v>1.00000849271148+9.18135191604314E-07i</v>
      </c>
      <c r="I52" s="1" t="str">
        <f>IMPRODUCT(C52,F52)</f>
        <v>1.00002172358581-1.57618230161444E-06i</v>
      </c>
    </row>
    <row r="53" spans="1:9">
      <c r="C53" s="1" t="str">
        <f>COMPLEX(F15,G15)</f>
        <v>1.00001009066923-2.41177658890943E-06i</v>
      </c>
      <c r="F53" s="1" t="str">
        <f t="shared" si="0"/>
        <v>0.999998909388281-1.05557662689409E-06i</v>
      </c>
      <c r="I53" s="1" t="str">
        <f>IMPRODUCT(C53,F53)</f>
        <v>1.00000900004396-0.0000034673612369663i</v>
      </c>
    </row>
    <row r="54" spans="1:9">
      <c r="C54" s="1" t="str">
        <f>COMPLEX(F16,G16)</f>
        <v>1.00000197288438-3.74780207385469E-06i</v>
      </c>
      <c r="F54" s="1" t="str">
        <f t="shared" si="0"/>
        <v>1.00001461134057-1.93764021220428E-06i</v>
      </c>
      <c r="I54" s="1" t="str">
        <f>IMPRODUCT(C54,F54)</f>
        <v>1.00001658424651-5.68550086921157E-06i</v>
      </c>
    </row>
    <row r="55" spans="1:9">
      <c r="C55" s="1" t="str">
        <f>COMPLEX(F17,G17)</f>
        <v>1.00000462506878-3.62037632269217E-06i</v>
      </c>
      <c r="F55" s="1" t="str">
        <f t="shared" si="0"/>
        <v>1.00001127794732+2.34535514368604E-07i</v>
      </c>
      <c r="I55" s="1" t="str">
        <f>IMPRODUCT(C55,F55)</f>
        <v>1.00001590306911-3.38588055399413E-06i</v>
      </c>
    </row>
    <row r="56" spans="1:9">
      <c r="C56" s="1" t="str">
        <f>COMPLEX(F18,G18)</f>
        <v>1.00000813650969-2.13558344454316E-06i</v>
      </c>
      <c r="F56" s="1" t="str">
        <f t="shared" si="0"/>
        <v>1.00000264114706-8.81468488094103E-07i</v>
      </c>
      <c r="I56" s="1" t="str">
        <f>IMPRODUCT(C56,F56)</f>
        <v>1.00001077767636-3.01706474510409E-06i</v>
      </c>
    </row>
    <row r="57" spans="1:9">
      <c r="C57" s="1" t="str">
        <f>COMPLEX(F19,G19)</f>
        <v>1.00000806129185-4.99310447334337E-06i</v>
      </c>
      <c r="F57" s="1" t="str">
        <f t="shared" si="0"/>
        <v>1.0000013998895-5.97792179253309E-06i</v>
      </c>
      <c r="I57" s="1" t="str">
        <f>IMPRODUCT(C57,F57)</f>
        <v>1.00000946116279-0.0000109710814454432i</v>
      </c>
    </row>
    <row r="58" spans="1:9">
      <c r="C58" s="1" t="str">
        <f>COMPLEX(F20,G20)</f>
        <v>1.00000398791822-3.42922510173751E-06i</v>
      </c>
      <c r="F58" s="1" t="str">
        <f t="shared" si="0"/>
        <v>1.000000645246-3.77772975428432E-06i</v>
      </c>
      <c r="I58" s="1" t="str">
        <f>IMPRODUCT(C58,F58)</f>
        <v>1.00000463315384-7.20697213399293E-06i</v>
      </c>
    </row>
    <row r="59" spans="1:9">
      <c r="C59" s="1" t="str">
        <f>COMPLEX(F21,G21)</f>
        <v>1.00000747483709-2.21977136201714E-06i</v>
      </c>
      <c r="F59" s="1" t="str">
        <f t="shared" si="0"/>
        <v>1.00000369383651-6.20326790407231E-06i</v>
      </c>
      <c r="I59" s="1" t="str">
        <f>IMPRODUCT(C59,F59)</f>
        <v>1.00001116868744-8.42309383397896E-06i</v>
      </c>
    </row>
    <row r="60" spans="1:9">
      <c r="C60" s="1" t="str">
        <f>COMPLEX(F22,G22)</f>
        <v>1.00000337413626-2.95408792732098E-06i</v>
      </c>
      <c r="F60" s="1" t="str">
        <f t="shared" si="0"/>
        <v>1.00000093754686-6.10299856712462E-06i</v>
      </c>
      <c r="I60" s="1" t="str">
        <f>IMPRODUCT(C60,F60)</f>
        <v>1.00000431166825-9.05710985639022E-06i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Exp08</vt:lpstr>
    </vt:vector>
  </TitlesOfParts>
  <Company>Crystal Lake Designs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Williamsen</dc:creator>
  <cp:lastModifiedBy>Mark Williamsen</cp:lastModifiedBy>
  <dcterms:created xsi:type="dcterms:W3CDTF">2025-08-03T18:44:28Z</dcterms:created>
  <dcterms:modified xsi:type="dcterms:W3CDTF">2025-08-16T10:16:41Z</dcterms:modified>
</cp:coreProperties>
</file>